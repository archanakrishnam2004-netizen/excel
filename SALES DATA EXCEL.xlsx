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Netcom\Documents\"/>
    </mc:Choice>
  </mc:AlternateContent>
  <xr:revisionPtr revIDLastSave="0" documentId="8_{ECDF9947-B3DD-4C05-B963-96027A036C6C}" xr6:coauthVersionLast="47" xr6:coauthVersionMax="47" xr10:uidLastSave="{00000000-0000-0000-0000-000000000000}"/>
  <bookViews>
    <workbookView xWindow="-110" yWindow="-110" windowWidth="19420" windowHeight="10300" activeTab="2" xr2:uid="{9BC647B9-6926-4BCB-AC5F-573D06E7913A}"/>
  </bookViews>
  <sheets>
    <sheet name="sales_data" sheetId="1" r:id="rId1"/>
    <sheet name="Sheet1" sheetId="2" r:id="rId2"/>
    <sheet name="Sheet2" sheetId="3" r:id="rId3"/>
  </sheets>
  <definedNames>
    <definedName name="Slicer_Payment_Method">#N/A</definedName>
    <definedName name="Slicer_Product_Category">#N/A</definedName>
    <definedName name="Slicer_Sale_Date">#N/A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2" l="1"/>
</calcChain>
</file>

<file path=xl/sharedStrings.xml><?xml version="1.0" encoding="utf-8"?>
<sst xmlns="http://schemas.openxmlformats.org/spreadsheetml/2006/main" count="7038" uniqueCount="61">
  <si>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</si>
  <si>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</si>
  <si>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</si>
  <si>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</si>
  <si>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</si>
  <si>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</si>
  <si>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</si>
  <si>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</si>
  <si>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</si>
  <si>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</si>
  <si>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</si>
  <si>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</si>
  <si>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</si>
  <si>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</si>
  <si>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</si>
  <si>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</si>
  <si>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</si>
  <si>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</si>
  <si>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</si>
  <si>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</si>
  <si>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</si>
  <si>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</si>
  <si>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</si>
  <si>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</si>
  <si>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</si>
  <si>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</si>
  <si>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</si>
  <si>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</si>
  <si>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</si>
  <si>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</si>
  <si>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</si>
  <si>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</si>
  <si>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</si>
  <si>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</si>
  <si>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</si>
  <si>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</si>
  <si>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</si>
  <si>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</si>
  <si>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</si>
  <si>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</si>
  <si>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</si>
  <si>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</si>
  <si>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</si>
  <si>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</si>
  <si>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</si>
  <si>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</si>
  <si>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</si>
  <si>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</si>
  <si>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</si>
  <si>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</si>
  <si>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</si>
  <si>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</si>
  <si>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</si>
  <si>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</si>
  <si>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</si>
  <si>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</si>
  <si>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Unit_Cost</t>
  </si>
  <si>
    <t>2023</t>
  </si>
  <si>
    <t>2024</t>
  </si>
  <si>
    <t>Count of Customer_Type</t>
  </si>
  <si>
    <t>Sum of Quantity_Sold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</si>
</sst>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Sheet1!$A$2:$A$4</c:f>
              <c:strCache>
                <c:ptCount val="2"/>
                <c:pt idx="0">
                  <c:v>Online</c:v>
                </c:pt>
                <c:pt idx="1">
                  <c:v>Retail</c:v>
                </c:pt>
              </c:strCache>
            </c:strRef>
          </c:cat>
          <c:val>
            <c:numRef>
              <c:f>Sheet1!$B$2:$B$4</c:f>
              <c:numCache>
                <c:formatCode>General</c:formatCode>
                <c:ptCount val="2"/>
                <c:pt idx="0">
                  <c:v>1237238.4500000002</c:v>
                </c:pt>
                <c:pt idx="1">
                  <c:v>1238066.0999999992</c:v>
                </c:pt>
              </c:numCache>
            </c:numRef>
          </c:val>
          <c:extLst>
            <c:ext xmlns:c16="http://schemas.microsoft.com/office/drawing/2014/chart" uri="{C3380CC4-5D6E-409C-BE32-E72D297353CC}">
              <c16:uniqueId val="{00000000-C3DB-48A4-8A13-0D2ACF93177B}"/>
            </c:ext>
          </c:extLst>
        </c:ser>
        <c:dLbls>
          <c:showLegendKey val="0"/>
          <c:showVal val="0"/>
          <c:showCatName val="0"/>
          <c:showSerName val="0"/>
          <c:showPercent val="0"/>
          <c:showBubbleSize val="0"/>
        </c:dLbls>
        <c:gapWidth val="219"/>
        <c:overlap val="-27"/>
        <c:axId val="470318640"/>
        <c:axId val="470320440"/>
      </c:barChart>
      <c:catAx>
        <c:axId val="4703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20440"/>
        <c:crosses val="autoZero"/>
        <c:auto val="1"/>
        <c:lblAlgn val="ctr"/>
        <c:lblOffset val="100"/>
        <c:noMultiLvlLbl val="0"/>
      </c:catAx>
      <c:valAx>
        <c:axId val="470320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41225508148690715"/>
          <c:y val="0.4719462867971379"/>
          <c:w val="0.19099386559238235"/>
          <c:h val="0.27262194922730093"/>
        </c:manualLayout>
      </c:layout>
      <c:doughnutChart>
        <c:varyColors val="1"/>
        <c:ser>
          <c:idx val="0"/>
          <c:order val="0"/>
          <c:tx>
            <c:strRef>
              <c:f>Sheet1!$C$11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D4-4C01-B50D-F475959D7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D4-4C01-B50D-F475959D747A}"/>
              </c:ext>
            </c:extLst>
          </c:dPt>
          <c:cat>
            <c:strRef>
              <c:f>Sheet1!$B$12:$B$14</c:f>
              <c:strCache>
                <c:ptCount val="2"/>
                <c:pt idx="0">
                  <c:v>2023</c:v>
                </c:pt>
                <c:pt idx="1">
                  <c:v>2024</c:v>
                </c:pt>
              </c:strCache>
            </c:strRef>
          </c:cat>
          <c:val>
            <c:numRef>
              <c:f>Sheet1!$C$12:$C$14</c:f>
              <c:numCache>
                <c:formatCode>General</c:formatCode>
                <c:ptCount val="2"/>
                <c:pt idx="0">
                  <c:v>2473664.9499999997</c:v>
                </c:pt>
                <c:pt idx="1">
                  <c:v>1639.6000000000001</c:v>
                </c:pt>
              </c:numCache>
            </c:numRef>
          </c:val>
          <c:extLst>
            <c:ext xmlns:c16="http://schemas.microsoft.com/office/drawing/2014/chart" uri="{C3380CC4-5D6E-409C-BE32-E72D297353CC}">
              <c16:uniqueId val="{00000000-0D6C-4B79-BBA0-E9349BEC52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Sheet1!$C$21</c:f>
              <c:strCache>
                <c:ptCount val="1"/>
                <c:pt idx="0">
                  <c:v>Total</c:v>
                </c:pt>
              </c:strCache>
            </c:strRef>
          </c:tx>
          <c:spPr>
            <a:solidFill>
              <a:schemeClr val="accent1"/>
            </a:solidFill>
            <a:ln>
              <a:noFill/>
            </a:ln>
            <a:effectLst/>
          </c:spPr>
          <c:cat>
            <c:strRef>
              <c:f>Sheet1!$B$22:$B$25</c:f>
              <c:strCache>
                <c:ptCount val="3"/>
                <c:pt idx="0">
                  <c:v>Bank Transfer</c:v>
                </c:pt>
                <c:pt idx="1">
                  <c:v>Cash</c:v>
                </c:pt>
                <c:pt idx="2">
                  <c:v>Credit Card</c:v>
                </c:pt>
              </c:strCache>
            </c:strRef>
          </c:cat>
          <c:val>
            <c:numRef>
              <c:f>Sheet1!$C$22:$C$25</c:f>
              <c:numCache>
                <c:formatCode>General</c:formatCode>
                <c:ptCount val="3"/>
                <c:pt idx="0">
                  <c:v>865000.49999999988</c:v>
                </c:pt>
                <c:pt idx="1">
                  <c:v>762277.99999999942</c:v>
                </c:pt>
                <c:pt idx="2">
                  <c:v>848026.04999999923</c:v>
                </c:pt>
              </c:numCache>
            </c:numRef>
          </c:val>
          <c:extLst>
            <c:ext xmlns:c16="http://schemas.microsoft.com/office/drawing/2014/chart" uri="{C3380CC4-5D6E-409C-BE32-E72D297353CC}">
              <c16:uniqueId val="{00000000-4824-4533-8FD4-A6460BC9B21D}"/>
            </c:ext>
          </c:extLst>
        </c:ser>
        <c:dLbls>
          <c:showLegendKey val="0"/>
          <c:showVal val="0"/>
          <c:showCatName val="0"/>
          <c:showSerName val="0"/>
          <c:showPercent val="0"/>
          <c:showBubbleSize val="0"/>
        </c:dLbls>
        <c:axId val="541898800"/>
        <c:axId val="541899520"/>
      </c:areaChart>
      <c:catAx>
        <c:axId val="54189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99520"/>
        <c:crosses val="autoZero"/>
        <c:auto val="1"/>
        <c:lblAlgn val="ctr"/>
        <c:lblOffset val="100"/>
        <c:noMultiLvlLbl val="0"/>
      </c:catAx>
      <c:valAx>
        <c:axId val="54189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988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Sheet1!$D$36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E-494B-82DE-6852CC1A68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E-494B-82DE-6852CC1A68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E-494B-82DE-6852CC1A68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EE-494B-82DE-6852CC1A68F3}"/>
              </c:ext>
            </c:extLst>
          </c:dPt>
          <c:cat>
            <c:strRef>
              <c:f>Sheet1!$C$37:$C$41</c:f>
              <c:strCache>
                <c:ptCount val="4"/>
                <c:pt idx="0">
                  <c:v>Clothing</c:v>
                </c:pt>
                <c:pt idx="1">
                  <c:v>Electronics</c:v>
                </c:pt>
                <c:pt idx="2">
                  <c:v>Food</c:v>
                </c:pt>
                <c:pt idx="3">
                  <c:v>Furniture</c:v>
                </c:pt>
              </c:strCache>
            </c:strRef>
          </c:cat>
          <c:val>
            <c:numRef>
              <c:f>Sheet1!$D$37:$D$41</c:f>
              <c:numCache>
                <c:formatCode>General</c:formatCode>
                <c:ptCount val="4"/>
                <c:pt idx="0">
                  <c:v>268</c:v>
                </c:pt>
                <c:pt idx="1">
                  <c:v>246</c:v>
                </c:pt>
                <c:pt idx="2">
                  <c:v>226</c:v>
                </c:pt>
                <c:pt idx="3">
                  <c:v>260</c:v>
                </c:pt>
              </c:numCache>
            </c:numRef>
          </c:val>
          <c:extLst>
            <c:ext xmlns:c16="http://schemas.microsoft.com/office/drawing/2014/chart" uri="{C3380CC4-5D6E-409C-BE32-E72D297353CC}">
              <c16:uniqueId val="{00000000-6427-477F-98A5-F5DDB96700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v/s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Sheet1!$A$2:$A$4</c:f>
              <c:strCache>
                <c:ptCount val="2"/>
                <c:pt idx="0">
                  <c:v>Online</c:v>
                </c:pt>
                <c:pt idx="1">
                  <c:v>Retail</c:v>
                </c:pt>
              </c:strCache>
            </c:strRef>
          </c:cat>
          <c:val>
            <c:numRef>
              <c:f>Sheet1!$B$2:$B$4</c:f>
              <c:numCache>
                <c:formatCode>General</c:formatCode>
                <c:ptCount val="2"/>
                <c:pt idx="0">
                  <c:v>1237238.4500000002</c:v>
                </c:pt>
                <c:pt idx="1">
                  <c:v>1238066.0999999992</c:v>
                </c:pt>
              </c:numCache>
            </c:numRef>
          </c:val>
          <c:extLst>
            <c:ext xmlns:c16="http://schemas.microsoft.com/office/drawing/2014/chart" uri="{C3380CC4-5D6E-409C-BE32-E72D297353CC}">
              <c16:uniqueId val="{00000000-57B6-42BF-92D8-260BA488D6C4}"/>
            </c:ext>
          </c:extLst>
        </c:ser>
        <c:dLbls>
          <c:showLegendKey val="0"/>
          <c:showVal val="0"/>
          <c:showCatName val="0"/>
          <c:showSerName val="0"/>
          <c:showPercent val="0"/>
          <c:showBubbleSize val="0"/>
        </c:dLbls>
        <c:gapWidth val="219"/>
        <c:overlap val="-27"/>
        <c:axId val="470318640"/>
        <c:axId val="470320440"/>
      </c:barChart>
      <c:catAx>
        <c:axId val="4703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20440"/>
        <c:crosses val="autoZero"/>
        <c:auto val="1"/>
        <c:lblAlgn val="ctr"/>
        <c:lblOffset val="100"/>
        <c:noMultiLvlLbl val="0"/>
      </c:catAx>
      <c:valAx>
        <c:axId val="470320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date v/s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41225508148690715"/>
          <c:y val="0.4719462867971379"/>
          <c:w val="0.19099386559238235"/>
          <c:h val="0.27262194922730093"/>
        </c:manualLayout>
      </c:layout>
      <c:doughnutChart>
        <c:varyColors val="1"/>
        <c:ser>
          <c:idx val="0"/>
          <c:order val="0"/>
          <c:tx>
            <c:strRef>
              <c:f>Sheet1!$C$11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54-464F-8304-41B5772CC9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54-464F-8304-41B5772CC90A}"/>
              </c:ext>
            </c:extLst>
          </c:dPt>
          <c:cat>
            <c:strRef>
              <c:f>Sheet1!$B$12:$B$14</c:f>
              <c:strCache>
                <c:ptCount val="2"/>
                <c:pt idx="0">
                  <c:v>2023</c:v>
                </c:pt>
                <c:pt idx="1">
                  <c:v>2024</c:v>
                </c:pt>
              </c:strCache>
            </c:strRef>
          </c:cat>
          <c:val>
            <c:numRef>
              <c:f>Sheet1!$C$12:$C$14</c:f>
              <c:numCache>
                <c:formatCode>General</c:formatCode>
                <c:ptCount val="2"/>
                <c:pt idx="0">
                  <c:v>2473664.9499999997</c:v>
                </c:pt>
                <c:pt idx="1">
                  <c:v>1639.6000000000001</c:v>
                </c:pt>
              </c:numCache>
            </c:numRef>
          </c:val>
          <c:extLst>
            <c:ext xmlns:c16="http://schemas.microsoft.com/office/drawing/2014/chart" uri="{C3380CC4-5D6E-409C-BE32-E72D297353CC}">
              <c16:uniqueId val="{00000004-D654-464F-8304-41B5772CC9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product category</a:t>
            </a:r>
            <a:endParaRPr lang="en-US"/>
          </a:p>
        </c:rich>
      </c:tx>
      <c:layout>
        <c:manualLayout>
          <c:xMode val="edge"/>
          <c:yMode val="edge"/>
          <c:x val="0.32262042389210022"/>
          <c:y val="0.143904425739885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178852643419568"/>
          <c:y val="0.30830016702457641"/>
          <c:w val="0.44760586378315614"/>
          <c:h val="0.58866952994512045"/>
        </c:manualLayout>
      </c:layout>
      <c:pieChart>
        <c:varyColors val="1"/>
        <c:ser>
          <c:idx val="0"/>
          <c:order val="0"/>
          <c:tx>
            <c:strRef>
              <c:f>Sheet1!$D$36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B7-4D97-88BD-FEBF2CBD50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B7-4D97-88BD-FEBF2CBD50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B7-4D97-88BD-FEBF2CBD50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B7-4D97-88BD-FEBF2CBD501D}"/>
              </c:ext>
            </c:extLst>
          </c:dPt>
          <c:cat>
            <c:strRef>
              <c:f>Sheet1!$C$37:$C$41</c:f>
              <c:strCache>
                <c:ptCount val="4"/>
                <c:pt idx="0">
                  <c:v>Clothing</c:v>
                </c:pt>
                <c:pt idx="1">
                  <c:v>Electronics</c:v>
                </c:pt>
                <c:pt idx="2">
                  <c:v>Food</c:v>
                </c:pt>
                <c:pt idx="3">
                  <c:v>Furniture</c:v>
                </c:pt>
              </c:strCache>
            </c:strRef>
          </c:cat>
          <c:val>
            <c:numRef>
              <c:f>Sheet1!$D$37:$D$41</c:f>
              <c:numCache>
                <c:formatCode>General</c:formatCode>
                <c:ptCount val="4"/>
                <c:pt idx="0">
                  <c:v>268</c:v>
                </c:pt>
                <c:pt idx="1">
                  <c:v>246</c:v>
                </c:pt>
                <c:pt idx="2">
                  <c:v>226</c:v>
                </c:pt>
                <c:pt idx="3">
                  <c:v>260</c:v>
                </c:pt>
              </c:numCache>
            </c:numRef>
          </c:val>
          <c:extLst>
            <c:ext xmlns:c16="http://schemas.microsoft.com/office/drawing/2014/chart" uri="{C3380CC4-5D6E-409C-BE32-E72D297353CC}">
              <c16:uniqueId val="{00000008-56B7-4D97-88BD-FEBF2CBD50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v/s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Sheet1!$C$21</c:f>
              <c:strCache>
                <c:ptCount val="1"/>
                <c:pt idx="0">
                  <c:v>Total</c:v>
                </c:pt>
              </c:strCache>
            </c:strRef>
          </c:tx>
          <c:spPr>
            <a:solidFill>
              <a:schemeClr val="accent1"/>
            </a:solidFill>
            <a:ln>
              <a:noFill/>
            </a:ln>
            <a:effectLst/>
          </c:spPr>
          <c:cat>
            <c:strRef>
              <c:f>Sheet1!$B$22:$B$25</c:f>
              <c:strCache>
                <c:ptCount val="3"/>
                <c:pt idx="0">
                  <c:v>Bank Transfer</c:v>
                </c:pt>
                <c:pt idx="1">
                  <c:v>Cash</c:v>
                </c:pt>
                <c:pt idx="2">
                  <c:v>Credit Card</c:v>
                </c:pt>
              </c:strCache>
            </c:strRef>
          </c:cat>
          <c:val>
            <c:numRef>
              <c:f>Sheet1!$C$22:$C$25</c:f>
              <c:numCache>
                <c:formatCode>General</c:formatCode>
                <c:ptCount val="3"/>
                <c:pt idx="0">
                  <c:v>865000.49999999988</c:v>
                </c:pt>
                <c:pt idx="1">
                  <c:v>762277.99999999942</c:v>
                </c:pt>
                <c:pt idx="2">
                  <c:v>848026.04999999923</c:v>
                </c:pt>
              </c:numCache>
            </c:numRef>
          </c:val>
          <c:extLst>
            <c:ext xmlns:c16="http://schemas.microsoft.com/office/drawing/2014/chart" uri="{C3380CC4-5D6E-409C-BE32-E72D297353CC}">
              <c16:uniqueId val="{00000000-B89A-41C7-8A91-6027885F1EFC}"/>
            </c:ext>
          </c:extLst>
        </c:ser>
        <c:dLbls>
          <c:showLegendKey val="0"/>
          <c:showVal val="0"/>
          <c:showCatName val="0"/>
          <c:showSerName val="0"/>
          <c:showPercent val="0"/>
          <c:showBubbleSize val="0"/>
        </c:dLbls>
        <c:axId val="541898800"/>
        <c:axId val="541899520"/>
      </c:areaChart>
      <c:catAx>
        <c:axId val="54189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99520"/>
        <c:crosses val="autoZero"/>
        <c:auto val="1"/>
        <c:lblAlgn val="ctr"/>
        <c:lblOffset val="100"/>
        <c:noMultiLvlLbl val="0"/>
      </c:catAx>
      <c:valAx>
        <c:axId val="54189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988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6350</xdr:rowOff>
    </xdr:from>
    <xdr:to>
      <xdr:col>6</xdr:col>
      <xdr:colOff>95250</xdr:colOff>
      <xdr:row>4</xdr:row>
      <xdr:rowOff>158750</xdr:rowOff>
    </xdr:to>
    <xdr:graphicFrame macro="">
      <xdr:nvGraphicFramePr>
        <xdr:cNvPr id="2" name="Chart 1">
          <a:extLst>
            <a:ext uri="{FF2B5EF4-FFF2-40B4-BE49-F238E27FC236}">
              <a16:creationId xmlns:a16="http://schemas.microsoft.com/office/drawing/2014/main" id="{40A1F869-78F8-ED5C-0AB3-00039A2EE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127000</xdr:colOff>
      <xdr:row>0</xdr:row>
      <xdr:rowOff>0</xdr:rowOff>
    </xdr:from>
    <xdr:to>
      <xdr:col>8</xdr:col>
      <xdr:colOff>387350</xdr:colOff>
      <xdr:row>6</xdr:row>
      <xdr:rowOff>63500</xdr:rowOff>
    </xdr:to>
    <mc:AlternateContent xmlns:mc="http://schemas.openxmlformats.org/markup-compatibility/2006" xmlns:a14="http://schemas.microsoft.com/office/drawing/2010/main">
      <mc:Choice Requires="a14">
        <xdr:graphicFrame macro="">
          <xdr:nvGraphicFramePr>
            <xdr:cNvPr id="3" name="Sales_Channel">
              <a:extLst>
                <a:ext uri="{FF2B5EF4-FFF2-40B4-BE49-F238E27FC236}">
                  <a16:creationId xmlns:a16="http://schemas.microsoft.com/office/drawing/2014/main" id="{30E8AA22-211B-C68D-5F0A-44F084580FBC}"/>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5949950" y="0"/>
              <a:ext cx="147955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7</xdr:row>
      <xdr:rowOff>88900</xdr:rowOff>
    </xdr:from>
    <xdr:to>
      <xdr:col>6</xdr:col>
      <xdr:colOff>450850</xdr:colOff>
      <xdr:row>15</xdr:row>
      <xdr:rowOff>146050</xdr:rowOff>
    </xdr:to>
    <xdr:graphicFrame macro="">
      <xdr:nvGraphicFramePr>
        <xdr:cNvPr id="4" name="Chart 3">
          <a:extLst>
            <a:ext uri="{FF2B5EF4-FFF2-40B4-BE49-F238E27FC236}">
              <a16:creationId xmlns:a16="http://schemas.microsoft.com/office/drawing/2014/main" id="{AC2A320D-D7FA-A970-B011-1148BE941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546100</xdr:colOff>
      <xdr:row>8</xdr:row>
      <xdr:rowOff>133350</xdr:rowOff>
    </xdr:from>
    <xdr:to>
      <xdr:col>9</xdr:col>
      <xdr:colOff>546100</xdr:colOff>
      <xdr:row>15</xdr:row>
      <xdr:rowOff>123825</xdr:rowOff>
    </xdr:to>
    <mc:AlternateContent xmlns:mc="http://schemas.openxmlformats.org/markup-compatibility/2006" xmlns:a14="http://schemas.microsoft.com/office/drawing/2010/main">
      <mc:Choice Requires="a14">
        <xdr:graphicFrame macro="">
          <xdr:nvGraphicFramePr>
            <xdr:cNvPr id="5" name="Sale_Date">
              <a:extLst>
                <a:ext uri="{FF2B5EF4-FFF2-40B4-BE49-F238E27FC236}">
                  <a16:creationId xmlns:a16="http://schemas.microsoft.com/office/drawing/2014/main" id="{23F37BCC-04EA-6320-64CB-9E13BB19A28F}"/>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6369050" y="1606550"/>
              <a:ext cx="1828800" cy="127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107950</xdr:colOff>
      <xdr:row>20</xdr:row>
      <xdr:rowOff>0</xdr:rowOff>
    </xdr:from>
    <xdr:to>
      <xdr:col>7</xdr:col>
      <xdr:colOff>488950</xdr:colOff>
      <xdr:row>30</xdr:row>
      <xdr:rowOff>95250</xdr:rowOff>
    </xdr:to>
    <xdr:graphicFrame macro="">
      <xdr:nvGraphicFramePr>
        <xdr:cNvPr id="6" name="Chart 5">
          <a:extLst>
            <a:ext uri="{FF2B5EF4-FFF2-40B4-BE49-F238E27FC236}">
              <a16:creationId xmlns:a16="http://schemas.microsoft.com/office/drawing/2014/main" id="{91AA515E-5274-F499-F724-B8A43135D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558800</xdr:colOff>
      <xdr:row>20</xdr:row>
      <xdr:rowOff>12701</xdr:rowOff>
    </xdr:from>
    <xdr:to>
      <xdr:col>10</xdr:col>
      <xdr:colOff>558800</xdr:colOff>
      <xdr:row>26</xdr:row>
      <xdr:rowOff>152401</xdr:rowOff>
    </xdr:to>
    <mc:AlternateContent xmlns:mc="http://schemas.openxmlformats.org/markup-compatibility/2006" xmlns:a14="http://schemas.microsoft.com/office/drawing/2010/main">
      <mc:Choice Requires="a14">
        <xdr:graphicFrame macro="">
          <xdr:nvGraphicFramePr>
            <xdr:cNvPr id="7" name="Payment_Method">
              <a:extLst>
                <a:ext uri="{FF2B5EF4-FFF2-40B4-BE49-F238E27FC236}">
                  <a16:creationId xmlns:a16="http://schemas.microsoft.com/office/drawing/2014/main" id="{3B66901A-89D3-5420-7943-74EF5CB6D0F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991350" y="3695701"/>
              <a:ext cx="182880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292100</xdr:colOff>
      <xdr:row>30</xdr:row>
      <xdr:rowOff>171450</xdr:rowOff>
    </xdr:from>
    <xdr:to>
      <xdr:col>9</xdr:col>
      <xdr:colOff>0</xdr:colOff>
      <xdr:row>42</xdr:row>
      <xdr:rowOff>57150</xdr:rowOff>
    </xdr:to>
    <xdr:graphicFrame macro="">
      <xdr:nvGraphicFramePr>
        <xdr:cNvPr id="8" name="Chart 7">
          <a:extLst>
            <a:ext uri="{FF2B5EF4-FFF2-40B4-BE49-F238E27FC236}">
              <a16:creationId xmlns:a16="http://schemas.microsoft.com/office/drawing/2014/main" id="{6E4A4CFD-DFFC-76A9-6D2F-57101639B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76200</xdr:colOff>
      <xdr:row>32</xdr:row>
      <xdr:rowOff>107949</xdr:rowOff>
    </xdr:from>
    <xdr:to>
      <xdr:col>11</xdr:col>
      <xdr:colOff>438150</xdr:colOff>
      <xdr:row>40</xdr:row>
      <xdr:rowOff>69850</xdr:rowOff>
    </xdr:to>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155C6247-A1AD-14C6-7EDD-B4459AF1446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727950" y="6000749"/>
              <a:ext cx="1581150" cy="1435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347738</xdr:colOff>
      <xdr:row>0</xdr:row>
      <xdr:rowOff>0</xdr:rowOff>
    </xdr:from>
    <xdr:to>
      <xdr:col>14</xdr:col>
      <xdr:colOff>241904</xdr:colOff>
      <xdr:row>46</xdr:row>
      <xdr:rowOff>60476</xdr:rowOff>
    </xdr:to>
    <xdr:sp macro="" textlink="">
      <xdr:nvSpPr>
        <xdr:cNvPr id="2" name="Rectangle 1">
          <a:extLst>
            <a:ext uri="{FF2B5EF4-FFF2-40B4-BE49-F238E27FC236}">
              <a16:creationId xmlns:a16="http://schemas.microsoft.com/office/drawing/2014/main" id="{DBD4B268-8507-DCB9-EB83-54D2D098043C}"/>
            </a:ext>
          </a:extLst>
        </xdr:cNvPr>
        <xdr:cNvSpPr/>
      </xdr:nvSpPr>
      <xdr:spPr>
        <a:xfrm>
          <a:off x="2162024" y="0"/>
          <a:ext cx="6546547" cy="840619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409424</xdr:colOff>
      <xdr:row>5</xdr:row>
      <xdr:rowOff>48381</xdr:rowOff>
    </xdr:from>
    <xdr:to>
      <xdr:col>9</xdr:col>
      <xdr:colOff>136072</xdr:colOff>
      <xdr:row>12</xdr:row>
      <xdr:rowOff>73781</xdr:rowOff>
    </xdr:to>
    <xdr:graphicFrame macro="">
      <xdr:nvGraphicFramePr>
        <xdr:cNvPr id="3" name="Chart 2">
          <a:extLst>
            <a:ext uri="{FF2B5EF4-FFF2-40B4-BE49-F238E27FC236}">
              <a16:creationId xmlns:a16="http://schemas.microsoft.com/office/drawing/2014/main" id="{ECE231E4-960E-4C00-9370-332A65E5B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241300</xdr:colOff>
      <xdr:row>5</xdr:row>
      <xdr:rowOff>63500</xdr:rowOff>
    </xdr:from>
    <xdr:to>
      <xdr:col>14</xdr:col>
      <xdr:colOff>63500</xdr:colOff>
      <xdr:row>12</xdr:row>
      <xdr:rowOff>63500</xdr:rowOff>
    </xdr:to>
    <mc:AlternateContent xmlns:mc="http://schemas.openxmlformats.org/markup-compatibility/2006">
      <mc:Choice xmlns:a14="http://schemas.microsoft.com/office/drawing/2010/main" Requires="a14">
        <xdr:graphicFrame macro="">
          <xdr:nvGraphicFramePr>
            <xdr:cNvPr id="4" name="Sales_Channel 1">
              <a:extLst>
                <a:ext uri="{FF2B5EF4-FFF2-40B4-BE49-F238E27FC236}">
                  <a16:creationId xmlns:a16="http://schemas.microsoft.com/office/drawing/2014/main" id="{B20D753F-D84C-444C-ABE9-9B6CD7C48CA1}"/>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5684157" y="970643"/>
              <a:ext cx="284601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12</xdr:row>
      <xdr:rowOff>146050</xdr:rowOff>
    </xdr:from>
    <xdr:to>
      <xdr:col>9</xdr:col>
      <xdr:colOff>152400</xdr:colOff>
      <xdr:row>21</xdr:row>
      <xdr:rowOff>19050</xdr:rowOff>
    </xdr:to>
    <xdr:graphicFrame macro="">
      <xdr:nvGraphicFramePr>
        <xdr:cNvPr id="5" name="Chart 4">
          <a:extLst>
            <a:ext uri="{FF2B5EF4-FFF2-40B4-BE49-F238E27FC236}">
              <a16:creationId xmlns:a16="http://schemas.microsoft.com/office/drawing/2014/main" id="{C2F1B1D4-42FB-4F9A-92DC-27686BCC6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514350</xdr:colOff>
      <xdr:row>21</xdr:row>
      <xdr:rowOff>82550</xdr:rowOff>
    </xdr:from>
    <xdr:to>
      <xdr:col>9</xdr:col>
      <xdr:colOff>152400</xdr:colOff>
      <xdr:row>30</xdr:row>
      <xdr:rowOff>82550</xdr:rowOff>
    </xdr:to>
    <xdr:graphicFrame macro="">
      <xdr:nvGraphicFramePr>
        <xdr:cNvPr id="7" name="Chart 6">
          <a:extLst>
            <a:ext uri="{FF2B5EF4-FFF2-40B4-BE49-F238E27FC236}">
              <a16:creationId xmlns:a16="http://schemas.microsoft.com/office/drawing/2014/main" id="{7873610E-C20C-472C-9451-29BB47476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247650</xdr:colOff>
      <xdr:row>21</xdr:row>
      <xdr:rowOff>25400</xdr:rowOff>
    </xdr:from>
    <xdr:to>
      <xdr:col>14</xdr:col>
      <xdr:colOff>88900</xdr:colOff>
      <xdr:row>30</xdr:row>
      <xdr:rowOff>114300</xdr:rowOff>
    </xdr:to>
    <mc:AlternateContent xmlns:mc="http://schemas.openxmlformats.org/markup-compatibility/2006">
      <mc:Choice xmlns:a14="http://schemas.microsoft.com/office/drawing/2010/main" Requires="a14">
        <xdr:graphicFrame macro="">
          <xdr:nvGraphicFramePr>
            <xdr:cNvPr id="8" name="Product_Category 1">
              <a:extLst>
                <a:ext uri="{FF2B5EF4-FFF2-40B4-BE49-F238E27FC236}">
                  <a16:creationId xmlns:a16="http://schemas.microsoft.com/office/drawing/2014/main" id="{FFEBAC47-ECD9-4D38-BCDB-72FEF011AC8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5690507" y="3835400"/>
              <a:ext cx="2865060" cy="1721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508000</xdr:colOff>
      <xdr:row>31</xdr:row>
      <xdr:rowOff>12700</xdr:rowOff>
    </xdr:from>
    <xdr:to>
      <xdr:col>9</xdr:col>
      <xdr:colOff>133350</xdr:colOff>
      <xdr:row>40</xdr:row>
      <xdr:rowOff>0</xdr:rowOff>
    </xdr:to>
    <xdr:graphicFrame macro="">
      <xdr:nvGraphicFramePr>
        <xdr:cNvPr id="9" name="Chart 8">
          <a:extLst>
            <a:ext uri="{FF2B5EF4-FFF2-40B4-BE49-F238E27FC236}">
              <a16:creationId xmlns:a16="http://schemas.microsoft.com/office/drawing/2014/main" id="{5923B08A-E0CE-4A89-87EA-1C291B515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247650</xdr:colOff>
      <xdr:row>31</xdr:row>
      <xdr:rowOff>44450</xdr:rowOff>
    </xdr:from>
    <xdr:to>
      <xdr:col>14</xdr:col>
      <xdr:colOff>127000</xdr:colOff>
      <xdr:row>40</xdr:row>
      <xdr:rowOff>44450</xdr:rowOff>
    </xdr:to>
    <mc:AlternateContent xmlns:mc="http://schemas.openxmlformats.org/markup-compatibility/2006">
      <mc:Choice xmlns:a14="http://schemas.microsoft.com/office/drawing/2010/main" Requires="a14">
        <xdr:graphicFrame macro="">
          <xdr:nvGraphicFramePr>
            <xdr:cNvPr id="10" name="Payment_Method 2">
              <a:extLst>
                <a:ext uri="{FF2B5EF4-FFF2-40B4-BE49-F238E27FC236}">
                  <a16:creationId xmlns:a16="http://schemas.microsoft.com/office/drawing/2014/main" id="{7E35F57B-AC79-41D4-AE09-6E8A4E59E9B9}"/>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5690507" y="5668736"/>
              <a:ext cx="2903160" cy="163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348646</xdr:colOff>
      <xdr:row>40</xdr:row>
      <xdr:rowOff>116719</xdr:rowOff>
    </xdr:from>
    <xdr:to>
      <xdr:col>11</xdr:col>
      <xdr:colOff>107345</xdr:colOff>
      <xdr:row>46</xdr:row>
      <xdr:rowOff>5141</xdr:rowOff>
    </xdr:to>
    <xdr:sp macro="" textlink="Sheet1!B46">
      <xdr:nvSpPr>
        <xdr:cNvPr id="12" name="Rectangle: Rounded Corners 11">
          <a:extLst>
            <a:ext uri="{FF2B5EF4-FFF2-40B4-BE49-F238E27FC236}">
              <a16:creationId xmlns:a16="http://schemas.microsoft.com/office/drawing/2014/main" id="{9803E0AA-FB05-C8B9-737D-1F1ED042B08F}"/>
            </a:ext>
          </a:extLst>
        </xdr:cNvPr>
        <xdr:cNvSpPr/>
      </xdr:nvSpPr>
      <xdr:spPr>
        <a:xfrm>
          <a:off x="4581979" y="7373862"/>
          <a:ext cx="2177747" cy="9769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897E1F-C8AE-44E1-97A7-7B9115765811}" type="TxLink">
            <a:rPr lang="en-US" sz="2400" b="0" i="0" u="none" strike="noStrike">
              <a:solidFill>
                <a:srgbClr val="000000"/>
              </a:solidFill>
              <a:latin typeface="Calibri"/>
              <a:ea typeface="Calibri"/>
              <a:cs typeface="Calibri"/>
            </a:rPr>
            <a:pPr algn="ctr"/>
            <a:t>25355</a:t>
          </a:fld>
          <a:endParaRPr lang="en-US" sz="2400"/>
        </a:p>
      </xdr:txBody>
    </xdr:sp>
    <xdr:clientData/>
  </xdr:twoCellAnchor>
  <xdr:twoCellAnchor>
    <xdr:from>
      <xdr:col>7</xdr:col>
      <xdr:colOff>390677</xdr:colOff>
      <xdr:row>44</xdr:row>
      <xdr:rowOff>70756</xdr:rowOff>
    </xdr:from>
    <xdr:to>
      <xdr:col>11</xdr:col>
      <xdr:colOff>97064</xdr:colOff>
      <xdr:row>45</xdr:row>
      <xdr:rowOff>108856</xdr:rowOff>
    </xdr:to>
    <xdr:sp macro="" textlink="">
      <xdr:nvSpPr>
        <xdr:cNvPr id="14" name="Rectangle 13">
          <a:extLst>
            <a:ext uri="{FF2B5EF4-FFF2-40B4-BE49-F238E27FC236}">
              <a16:creationId xmlns:a16="http://schemas.microsoft.com/office/drawing/2014/main" id="{00D7C34D-F189-BC50-F487-5541ED4FE1D0}"/>
            </a:ext>
          </a:extLst>
        </xdr:cNvPr>
        <xdr:cNvSpPr/>
      </xdr:nvSpPr>
      <xdr:spPr>
        <a:xfrm>
          <a:off x="4624010" y="8053613"/>
          <a:ext cx="2125435" cy="21952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Quantity</a:t>
          </a:r>
        </a:p>
      </xdr:txBody>
    </xdr:sp>
    <xdr:clientData/>
  </xdr:twoCellAnchor>
  <xdr:twoCellAnchor>
    <xdr:from>
      <xdr:col>7</xdr:col>
      <xdr:colOff>457200</xdr:colOff>
      <xdr:row>1</xdr:row>
      <xdr:rowOff>19050</xdr:rowOff>
    </xdr:from>
    <xdr:to>
      <xdr:col>11</xdr:col>
      <xdr:colOff>482600</xdr:colOff>
      <xdr:row>4</xdr:row>
      <xdr:rowOff>76200</xdr:rowOff>
    </xdr:to>
    <xdr:sp macro="" textlink="">
      <xdr:nvSpPr>
        <xdr:cNvPr id="15" name="Rectangle: Rounded Corners 14">
          <a:extLst>
            <a:ext uri="{FF2B5EF4-FFF2-40B4-BE49-F238E27FC236}">
              <a16:creationId xmlns:a16="http://schemas.microsoft.com/office/drawing/2014/main" id="{9DBCD737-0563-92FA-A68C-495D367E67FC}"/>
            </a:ext>
          </a:extLst>
        </xdr:cNvPr>
        <xdr:cNvSpPr/>
      </xdr:nvSpPr>
      <xdr:spPr>
        <a:xfrm>
          <a:off x="4724400" y="203200"/>
          <a:ext cx="2463800" cy="60960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SALES</a:t>
          </a:r>
          <a:r>
            <a:rPr lang="en-US" sz="2000" b="1" baseline="0">
              <a:solidFill>
                <a:srgbClr val="002060"/>
              </a:solidFill>
            </a:rPr>
            <a:t> DASHBOARD</a:t>
          </a:r>
          <a:endParaRPr lang="en-US" sz="2000" b="1">
            <a:solidFill>
              <a:srgbClr val="002060"/>
            </a:solidFill>
          </a:endParaRPr>
        </a:p>
      </xdr:txBody>
    </xdr:sp>
    <xdr:clientData/>
  </xdr:twoCellAnchor>
  <xdr:twoCellAnchor editAs="oneCell">
    <xdr:from>
      <xdr:col>9</xdr:col>
      <xdr:colOff>254000</xdr:colOff>
      <xdr:row>12</xdr:row>
      <xdr:rowOff>152400</xdr:rowOff>
    </xdr:from>
    <xdr:to>
      <xdr:col>14</xdr:col>
      <xdr:colOff>50800</xdr:colOff>
      <xdr:row>20</xdr:row>
      <xdr:rowOff>127000</xdr:rowOff>
    </xdr:to>
    <mc:AlternateContent xmlns:mc="http://schemas.openxmlformats.org/markup-compatibility/2006">
      <mc:Choice xmlns:a14="http://schemas.microsoft.com/office/drawing/2010/main" Requires="a14">
        <xdr:graphicFrame macro="">
          <xdr:nvGraphicFramePr>
            <xdr:cNvPr id="11" name="Sale_Date 1">
              <a:extLst>
                <a:ext uri="{FF2B5EF4-FFF2-40B4-BE49-F238E27FC236}">
                  <a16:creationId xmlns:a16="http://schemas.microsoft.com/office/drawing/2014/main" id="{29DCC0D4-56BD-491C-BBAB-19486D4122E4}"/>
                </a:ext>
              </a:extLst>
            </xdr:cNvPr>
            <xdr:cNvGraphicFramePr/>
          </xdr:nvGraphicFramePr>
          <xdr:xfrm>
            <a:off x="0" y="0"/>
            <a:ext cx="0" cy="0"/>
          </xdr:xfrm>
          <a:graphic>
            <a:graphicData uri="http://schemas.microsoft.com/office/drawing/2010/slicer">
              <sle:slicer xmlns:sle="http://schemas.microsoft.com/office/drawing/2010/slicer" name="Sale_Date 1"/>
            </a:graphicData>
          </a:graphic>
        </xdr:graphicFrame>
      </mc:Choice>
      <mc:Fallback>
        <xdr:sp macro="" textlink="">
          <xdr:nvSpPr>
            <xdr:cNvPr id="0" name=""/>
            <xdr:cNvSpPr>
              <a:spLocks noTextEdit="1"/>
            </xdr:cNvSpPr>
          </xdr:nvSpPr>
          <xdr:spPr>
            <a:xfrm>
              <a:off x="5696857" y="2329543"/>
              <a:ext cx="2820610" cy="1426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com" refreshedDate="46021.487274652776" createdVersion="8" refreshedVersion="8" minRefreshableVersion="3" recordCount="1000" xr:uid="{4A215916-93AE-4304-B206-E7F623B5012A}">
  <cacheSource type="worksheet">
    <worksheetSource ref="A1:N1001" sheet="sales_data"/>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acheField>
    <cacheField name="Region" numFmtId="0">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378634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s v="Bob"/>
    <s v="North"/>
    <x v="0"/>
    <x v="0"/>
    <x v="0"/>
    <n v="152.75"/>
    <n v="267.22000000000003"/>
    <s v="Returning"/>
    <n v="0.09"/>
    <x v="0"/>
    <x v="0"/>
    <s v="North-Bob"/>
  </r>
  <r>
    <n v="1093"/>
    <x v="1"/>
    <s v="Bob"/>
    <s v="West"/>
    <x v="1"/>
    <x v="1"/>
    <x v="0"/>
    <n v="3816.39"/>
    <n v="4209.4399999999996"/>
    <s v="Returning"/>
    <n v="0.11"/>
    <x v="0"/>
    <x v="1"/>
    <s v="West-Bob"/>
  </r>
  <r>
    <n v="1015"/>
    <x v="2"/>
    <s v="David"/>
    <s v="South"/>
    <x v="2"/>
    <x v="2"/>
    <x v="1"/>
    <n v="261.56"/>
    <n v="371.4"/>
    <s v="Returning"/>
    <n v="0.2"/>
    <x v="1"/>
    <x v="1"/>
    <s v="South-David"/>
  </r>
  <r>
    <n v="1072"/>
    <x v="3"/>
    <s v="Bob"/>
    <s v="South"/>
    <x v="3"/>
    <x v="3"/>
    <x v="2"/>
    <n v="4330.03"/>
    <n v="4467.75"/>
    <s v="New"/>
    <n v="0.02"/>
    <x v="2"/>
    <x v="1"/>
    <s v="South-Bob"/>
  </r>
  <r>
    <n v="1061"/>
    <x v="4"/>
    <s v="Charlie"/>
    <s v="East"/>
    <x v="4"/>
    <x v="4"/>
    <x v="3"/>
    <n v="637.37"/>
    <n v="692.71"/>
    <s v="New"/>
    <n v="0.08"/>
    <x v="2"/>
    <x v="0"/>
    <s v="East-Charlie"/>
  </r>
  <r>
    <n v="1021"/>
    <x v="5"/>
    <s v="Charlie"/>
    <s v="West"/>
    <x v="5"/>
    <x v="5"/>
    <x v="1"/>
    <n v="900.79"/>
    <n v="1106.51"/>
    <s v="New"/>
    <n v="0.21"/>
    <x v="0"/>
    <x v="0"/>
    <s v="West-Charlie"/>
  </r>
  <r>
    <n v="1083"/>
    <x v="6"/>
    <s v="Bob"/>
    <s v="West"/>
    <x v="6"/>
    <x v="6"/>
    <x v="0"/>
    <n v="2408.81"/>
    <n v="2624.09"/>
    <s v="Returning"/>
    <n v="0.14000000000000001"/>
    <x v="0"/>
    <x v="0"/>
    <s v="West-Bob"/>
  </r>
  <r>
    <n v="1087"/>
    <x v="7"/>
    <s v="Eve"/>
    <s v="South"/>
    <x v="7"/>
    <x v="7"/>
    <x v="0"/>
    <n v="3702.51"/>
    <n v="3964.65"/>
    <s v="New"/>
    <n v="0.12"/>
    <x v="1"/>
    <x v="0"/>
    <s v="South-Eve"/>
  </r>
  <r>
    <n v="1075"/>
    <x v="8"/>
    <s v="David"/>
    <s v="South"/>
    <x v="8"/>
    <x v="2"/>
    <x v="0"/>
    <n v="738.06"/>
    <n v="1095.44999999999"/>
    <s v="New"/>
    <n v="0.05"/>
    <x v="1"/>
    <x v="0"/>
    <s v="South-David"/>
  </r>
  <r>
    <n v="1075"/>
    <x v="9"/>
    <s v="Charlie"/>
    <s v="West"/>
    <x v="9"/>
    <x v="0"/>
    <x v="2"/>
    <n v="2228.35"/>
    <n v="2682.34"/>
    <s v="New"/>
    <n v="0.13"/>
    <x v="1"/>
    <x v="0"/>
    <s v="West-Charlie"/>
  </r>
  <r>
    <n v="1088"/>
    <x v="10"/>
    <s v="Eve"/>
    <s v="North"/>
    <x v="10"/>
    <x v="4"/>
    <x v="0"/>
    <n v="2440.11"/>
    <n v="2517.6"/>
    <s v="New"/>
    <n v="0.23"/>
    <x v="1"/>
    <x v="1"/>
    <s v="North-Eve"/>
  </r>
  <r>
    <n v="1100"/>
    <x v="11"/>
    <s v="Bob"/>
    <s v="West"/>
    <x v="11"/>
    <x v="8"/>
    <x v="1"/>
    <n v="1100.81"/>
    <n v="1137.44"/>
    <s v="Returning"/>
    <n v="0.08"/>
    <x v="1"/>
    <x v="0"/>
    <s v="West-Bob"/>
  </r>
  <r>
    <n v="1024"/>
    <x v="12"/>
    <s v="Eve"/>
    <s v="West"/>
    <x v="12"/>
    <x v="9"/>
    <x v="1"/>
    <n v="622.01"/>
    <n v="641.09"/>
    <s v="Returning"/>
    <n v="0"/>
    <x v="1"/>
    <x v="1"/>
    <s v="West-Eve"/>
  </r>
  <r>
    <n v="1003"/>
    <x v="13"/>
    <s v="Alice"/>
    <s v="South"/>
    <x v="13"/>
    <x v="2"/>
    <x v="0"/>
    <n v="4190.28"/>
    <n v="4270.6499999999996"/>
    <s v="New"/>
    <n v="0.2"/>
    <x v="0"/>
    <x v="0"/>
    <s v="South-Alice"/>
  </r>
  <r>
    <n v="1022"/>
    <x v="14"/>
    <s v="Charlie"/>
    <s v="South"/>
    <x v="14"/>
    <x v="9"/>
    <x v="1"/>
    <n v="2537.1999999999998"/>
    <n v="2869.6"/>
    <s v="New"/>
    <n v="0.28999999999999998"/>
    <x v="1"/>
    <x v="1"/>
    <s v="South-Charlie"/>
  </r>
  <r>
    <n v="1053"/>
    <x v="15"/>
    <s v="Bob"/>
    <s v="North"/>
    <x v="15"/>
    <x v="10"/>
    <x v="0"/>
    <n v="121.19"/>
    <n v="487.65"/>
    <s v="New"/>
    <n v="0.18"/>
    <x v="0"/>
    <x v="1"/>
    <s v="North-Bob"/>
  </r>
  <r>
    <n v="1002"/>
    <x v="16"/>
    <s v="David"/>
    <s v="North"/>
    <x v="16"/>
    <x v="1"/>
    <x v="0"/>
    <n v="4024.76"/>
    <n v="4420.1499999999996"/>
    <s v="Returning"/>
    <n v="0.04"/>
    <x v="0"/>
    <x v="0"/>
    <s v="North-David"/>
  </r>
  <r>
    <n v="1088"/>
    <x v="17"/>
    <s v="Bob"/>
    <s v="East"/>
    <x v="17"/>
    <x v="11"/>
    <x v="3"/>
    <n v="4904.93"/>
    <n v="5034.3500000000004"/>
    <s v="New"/>
    <n v="0.1"/>
    <x v="2"/>
    <x v="1"/>
    <s v="East-Bob"/>
  </r>
  <r>
    <n v="1030"/>
    <x v="18"/>
    <s v="David"/>
    <s v="West"/>
    <x v="18"/>
    <x v="12"/>
    <x v="2"/>
    <n v="3049.33"/>
    <n v="3209.22"/>
    <s v="Returning"/>
    <n v="0.26"/>
    <x v="0"/>
    <x v="0"/>
    <s v="West-David"/>
  </r>
  <r>
    <n v="1038"/>
    <x v="19"/>
    <s v="Bob"/>
    <s v="South"/>
    <x v="19"/>
    <x v="13"/>
    <x v="2"/>
    <n v="2543.36"/>
    <n v="2790.1"/>
    <s v="Returning"/>
    <n v="7.0000000000000007E-2"/>
    <x v="0"/>
    <x v="0"/>
    <s v="South-Bob"/>
  </r>
  <r>
    <n v="1002"/>
    <x v="20"/>
    <s v="Eve"/>
    <s v="North"/>
    <x v="20"/>
    <x v="14"/>
    <x v="3"/>
    <n v="4398.16"/>
    <n v="4439.12"/>
    <s v="New"/>
    <n v="0.18"/>
    <x v="1"/>
    <x v="0"/>
    <s v="North-Eve"/>
  </r>
  <r>
    <n v="1064"/>
    <x v="21"/>
    <s v="Eve"/>
    <s v="East"/>
    <x v="21"/>
    <x v="15"/>
    <x v="3"/>
    <n v="4764.96"/>
    <n v="5074.42"/>
    <s v="New"/>
    <n v="0.12"/>
    <x v="0"/>
    <x v="0"/>
    <s v="East-Eve"/>
  </r>
  <r>
    <n v="1060"/>
    <x v="22"/>
    <s v="Eve"/>
    <s v="East"/>
    <x v="22"/>
    <x v="16"/>
    <x v="2"/>
    <n v="3784.96"/>
    <n v="4276.99"/>
    <s v="New"/>
    <n v="0.06"/>
    <x v="1"/>
    <x v="1"/>
    <s v="East-Eve"/>
  </r>
  <r>
    <n v="1021"/>
    <x v="23"/>
    <s v="Alice"/>
    <s v="South"/>
    <x v="23"/>
    <x v="17"/>
    <x v="0"/>
    <n v="2254.9899999999998"/>
    <n v="2441.79"/>
    <s v="Returning"/>
    <n v="0.24"/>
    <x v="1"/>
    <x v="0"/>
    <s v="South-Alice"/>
  </r>
  <r>
    <n v="1033"/>
    <x v="24"/>
    <s v="David"/>
    <s v="South"/>
    <x v="24"/>
    <x v="18"/>
    <x v="0"/>
    <n v="2981.5"/>
    <n v="3360.4"/>
    <s v="Returning"/>
    <n v="0.22"/>
    <x v="1"/>
    <x v="1"/>
    <s v="South-David"/>
  </r>
  <r>
    <n v="1076"/>
    <x v="22"/>
    <s v="Eve"/>
    <s v="East"/>
    <x v="25"/>
    <x v="2"/>
    <x v="2"/>
    <n v="3519.63"/>
    <n v="3774.65"/>
    <s v="New"/>
    <n v="0.2"/>
    <x v="2"/>
    <x v="1"/>
    <s v="East-Eve"/>
  </r>
  <r>
    <n v="1058"/>
    <x v="25"/>
    <s v="Alice"/>
    <s v="North"/>
    <x v="26"/>
    <x v="19"/>
    <x v="0"/>
    <n v="1011.65"/>
    <n v="1084.28"/>
    <s v="Returning"/>
    <n v="7.0000000000000007E-2"/>
    <x v="1"/>
    <x v="1"/>
    <s v="North-Alice"/>
  </r>
  <r>
    <n v="1022"/>
    <x v="26"/>
    <s v="David"/>
    <s v="East"/>
    <x v="27"/>
    <x v="14"/>
    <x v="3"/>
    <n v="2263.65"/>
    <n v="2558.9499999999998"/>
    <s v="New"/>
    <n v="0.03"/>
    <x v="0"/>
    <x v="0"/>
    <s v="East-David"/>
  </r>
  <r>
    <n v="1089"/>
    <x v="27"/>
    <s v="Bob"/>
    <s v="West"/>
    <x v="28"/>
    <x v="20"/>
    <x v="0"/>
    <n v="4157.62"/>
    <n v="4314.5599999999904"/>
    <s v="New"/>
    <n v="0.17"/>
    <x v="1"/>
    <x v="1"/>
    <s v="West-Bob"/>
  </r>
  <r>
    <n v="1049"/>
    <x v="28"/>
    <s v="Alice"/>
    <s v="West"/>
    <x v="29"/>
    <x v="21"/>
    <x v="0"/>
    <n v="3290.89"/>
    <n v="3317.75"/>
    <s v="Returning"/>
    <n v="0.17"/>
    <x v="1"/>
    <x v="0"/>
    <s v="West-Alice"/>
  </r>
  <r>
    <n v="1091"/>
    <x v="29"/>
    <s v="Charlie"/>
    <s v="South"/>
    <x v="30"/>
    <x v="16"/>
    <x v="1"/>
    <n v="2085.46"/>
    <n v="2406.58"/>
    <s v="Returning"/>
    <n v="0.06"/>
    <x v="1"/>
    <x v="1"/>
    <s v="South-Charlie"/>
  </r>
  <r>
    <n v="1059"/>
    <x v="30"/>
    <s v="Alice"/>
    <s v="North"/>
    <x v="31"/>
    <x v="22"/>
    <x v="1"/>
    <n v="3333.64"/>
    <n v="3764.52"/>
    <s v="Returning"/>
    <n v="0.02"/>
    <x v="2"/>
    <x v="0"/>
    <s v="North-Alice"/>
  </r>
  <r>
    <n v="1042"/>
    <x v="31"/>
    <s v="Alice"/>
    <s v="North"/>
    <x v="32"/>
    <x v="23"/>
    <x v="1"/>
    <n v="635.20000000000005"/>
    <n v="814.14"/>
    <s v="Returning"/>
    <n v="0.02"/>
    <x v="0"/>
    <x v="0"/>
    <s v="North-Alice"/>
  </r>
  <r>
    <n v="1092"/>
    <x v="32"/>
    <s v="David"/>
    <s v="West"/>
    <x v="33"/>
    <x v="24"/>
    <x v="0"/>
    <n v="2037.41"/>
    <n v="2238.65"/>
    <s v="New"/>
    <n v="0.3"/>
    <x v="2"/>
    <x v="0"/>
    <s v="West-David"/>
  </r>
  <r>
    <n v="1060"/>
    <x v="14"/>
    <s v="Bob"/>
    <s v="East"/>
    <x v="34"/>
    <x v="25"/>
    <x v="2"/>
    <n v="3975.99"/>
    <n v="4422.59"/>
    <s v="New"/>
    <n v="0.24"/>
    <x v="0"/>
    <x v="0"/>
    <s v="East-Bob"/>
  </r>
  <r>
    <n v="1080"/>
    <x v="33"/>
    <s v="Charlie"/>
    <s v="South"/>
    <x v="35"/>
    <x v="14"/>
    <x v="3"/>
    <n v="1141.52"/>
    <n v="1550.19"/>
    <s v="New"/>
    <n v="0.28000000000000003"/>
    <x v="2"/>
    <x v="1"/>
    <s v="South-Charlie"/>
  </r>
  <r>
    <n v="1015"/>
    <x v="34"/>
    <s v="Eve"/>
    <s v="East"/>
    <x v="36"/>
    <x v="5"/>
    <x v="0"/>
    <n v="970.51"/>
    <n v="1330.84"/>
    <s v="Returning"/>
    <n v="0.06"/>
    <x v="0"/>
    <x v="1"/>
    <s v="East-Eve"/>
  </r>
  <r>
    <n v="1062"/>
    <x v="7"/>
    <s v="Eve"/>
    <s v="East"/>
    <x v="37"/>
    <x v="13"/>
    <x v="2"/>
    <n v="4756.55"/>
    <n v="4888.46"/>
    <s v="New"/>
    <n v="0.28999999999999998"/>
    <x v="2"/>
    <x v="0"/>
    <s v="East-Eve"/>
  </r>
  <r>
    <n v="1062"/>
    <x v="35"/>
    <s v="Alice"/>
    <s v="East"/>
    <x v="38"/>
    <x v="26"/>
    <x v="0"/>
    <n v="1088.99"/>
    <n v="1545"/>
    <s v="Returning"/>
    <n v="0.04"/>
    <x v="1"/>
    <x v="1"/>
    <s v="East-Alice"/>
  </r>
  <r>
    <n v="1047"/>
    <x v="36"/>
    <s v="David"/>
    <s v="North"/>
    <x v="39"/>
    <x v="19"/>
    <x v="3"/>
    <n v="1341.55"/>
    <n v="1427.21"/>
    <s v="Returning"/>
    <n v="0.15"/>
    <x v="2"/>
    <x v="0"/>
    <s v="North-David"/>
  </r>
  <r>
    <n v="1062"/>
    <x v="37"/>
    <s v="David"/>
    <s v="West"/>
    <x v="40"/>
    <x v="27"/>
    <x v="0"/>
    <n v="4849.6000000000004"/>
    <n v="5166.72"/>
    <s v="Returning"/>
    <n v="0.25"/>
    <x v="2"/>
    <x v="0"/>
    <s v="West-David"/>
  </r>
  <r>
    <n v="1051"/>
    <x v="21"/>
    <s v="Eve"/>
    <s v="North"/>
    <x v="41"/>
    <x v="28"/>
    <x v="3"/>
    <n v="3686.81"/>
    <n v="3710.92"/>
    <s v="New"/>
    <n v="0.1"/>
    <x v="1"/>
    <x v="1"/>
    <s v="North-Eve"/>
  </r>
  <r>
    <n v="1055"/>
    <x v="38"/>
    <s v="Charlie"/>
    <s v="West"/>
    <x v="42"/>
    <x v="29"/>
    <x v="0"/>
    <n v="3513"/>
    <n v="3838.42"/>
    <s v="Returning"/>
    <n v="0.13"/>
    <x v="1"/>
    <x v="0"/>
    <s v="West-Charlie"/>
  </r>
  <r>
    <n v="1064"/>
    <x v="39"/>
    <s v="Bob"/>
    <s v="South"/>
    <x v="43"/>
    <x v="29"/>
    <x v="3"/>
    <n v="4271.99"/>
    <n v="4417.79"/>
    <s v="Returning"/>
    <n v="0.04"/>
    <x v="0"/>
    <x v="0"/>
    <s v="South-Bob"/>
  </r>
  <r>
    <n v="1003"/>
    <x v="40"/>
    <s v="Charlie"/>
    <s v="South"/>
    <x v="44"/>
    <x v="30"/>
    <x v="0"/>
    <n v="623.32000000000005"/>
    <n v="853.66"/>
    <s v="Returning"/>
    <n v="0.04"/>
    <x v="0"/>
    <x v="0"/>
    <s v="South-Charlie"/>
  </r>
  <r>
    <n v="1051"/>
    <x v="41"/>
    <s v="Bob"/>
    <s v="East"/>
    <x v="45"/>
    <x v="26"/>
    <x v="3"/>
    <n v="3544.48"/>
    <n v="3723.66"/>
    <s v="Returning"/>
    <n v="0.19"/>
    <x v="0"/>
    <x v="0"/>
    <s v="East-Bob"/>
  </r>
  <r>
    <n v="1007"/>
    <x v="42"/>
    <s v="Eve"/>
    <s v="West"/>
    <x v="46"/>
    <x v="21"/>
    <x v="1"/>
    <n v="2543.2600000000002"/>
    <n v="2637.91"/>
    <s v="Returning"/>
    <n v="0.2"/>
    <x v="2"/>
    <x v="0"/>
    <s v="West-Eve"/>
  </r>
  <r>
    <n v="1021"/>
    <x v="43"/>
    <s v="Bob"/>
    <s v="West"/>
    <x v="47"/>
    <x v="8"/>
    <x v="0"/>
    <n v="4154.3"/>
    <n v="4469.07"/>
    <s v="Returning"/>
    <n v="0.23"/>
    <x v="0"/>
    <x v="1"/>
    <s v="West-Bob"/>
  </r>
  <r>
    <n v="1073"/>
    <x v="38"/>
    <s v="David"/>
    <s v="West"/>
    <x v="48"/>
    <x v="11"/>
    <x v="0"/>
    <n v="2565.3000000000002"/>
    <n v="3007.47"/>
    <s v="Returning"/>
    <n v="0.17"/>
    <x v="2"/>
    <x v="1"/>
    <s v="West-David"/>
  </r>
  <r>
    <n v="1039"/>
    <x v="44"/>
    <s v="Alice"/>
    <s v="East"/>
    <x v="49"/>
    <x v="31"/>
    <x v="2"/>
    <n v="3120.19"/>
    <n v="3600.14"/>
    <s v="Returning"/>
    <n v="0.19"/>
    <x v="2"/>
    <x v="1"/>
    <s v="East-Alice"/>
  </r>
  <r>
    <n v="1018"/>
    <x v="45"/>
    <s v="Alice"/>
    <s v="East"/>
    <x v="50"/>
    <x v="23"/>
    <x v="2"/>
    <n v="2414.8200000000002"/>
    <n v="2519.0700000000002"/>
    <s v="Returning"/>
    <n v="0"/>
    <x v="0"/>
    <x v="0"/>
    <s v="East-Alice"/>
  </r>
  <r>
    <n v="1004"/>
    <x v="46"/>
    <s v="Eve"/>
    <s v="South"/>
    <x v="51"/>
    <x v="3"/>
    <x v="3"/>
    <n v="2416.89"/>
    <n v="2778.3999999999901"/>
    <s v="Returning"/>
    <n v="0.05"/>
    <x v="0"/>
    <x v="0"/>
    <s v="South-Eve"/>
  </r>
  <r>
    <n v="1089"/>
    <x v="47"/>
    <s v="David"/>
    <s v="North"/>
    <x v="52"/>
    <x v="8"/>
    <x v="0"/>
    <n v="3851.45"/>
    <n v="4186.9799999999996"/>
    <s v="Returning"/>
    <n v="0.3"/>
    <x v="2"/>
    <x v="0"/>
    <s v="North-David"/>
  </r>
  <r>
    <n v="1060"/>
    <x v="48"/>
    <s v="Charlie"/>
    <s v="West"/>
    <x v="53"/>
    <x v="17"/>
    <x v="3"/>
    <n v="3161.4"/>
    <n v="3339.66"/>
    <s v="Returning"/>
    <n v="0.02"/>
    <x v="1"/>
    <x v="0"/>
    <s v="West-Charlie"/>
  </r>
  <r>
    <n v="1014"/>
    <x v="49"/>
    <s v="David"/>
    <s v="West"/>
    <x v="54"/>
    <x v="1"/>
    <x v="1"/>
    <n v="3184.65"/>
    <n v="3204.01"/>
    <s v="New"/>
    <n v="0.2"/>
    <x v="1"/>
    <x v="0"/>
    <s v="West-David"/>
  </r>
  <r>
    <n v="1009"/>
    <x v="40"/>
    <s v="Alice"/>
    <s v="North"/>
    <x v="55"/>
    <x v="19"/>
    <x v="2"/>
    <n v="2278.9"/>
    <n v="2626.9"/>
    <s v="New"/>
    <n v="0.05"/>
    <x v="2"/>
    <x v="0"/>
    <s v="North-Alice"/>
  </r>
  <r>
    <n v="1090"/>
    <x v="50"/>
    <s v="Alice"/>
    <s v="West"/>
    <x v="56"/>
    <x v="5"/>
    <x v="3"/>
    <n v="2678.99"/>
    <n v="3152.2799999999902"/>
    <s v="Returning"/>
    <n v="0.22"/>
    <x v="0"/>
    <x v="1"/>
    <s v="West-Alice"/>
  </r>
  <r>
    <n v="1053"/>
    <x v="51"/>
    <s v="David"/>
    <s v="East"/>
    <x v="57"/>
    <x v="6"/>
    <x v="3"/>
    <n v="3741.3"/>
    <n v="4061.04"/>
    <s v="Returning"/>
    <n v="0.21"/>
    <x v="2"/>
    <x v="0"/>
    <s v="East-David"/>
  </r>
  <r>
    <n v="1002"/>
    <x v="52"/>
    <s v="David"/>
    <s v="East"/>
    <x v="58"/>
    <x v="9"/>
    <x v="2"/>
    <n v="4138.41"/>
    <n v="4361.7"/>
    <s v="Returning"/>
    <n v="7.0000000000000007E-2"/>
    <x v="2"/>
    <x v="1"/>
    <s v="East-David"/>
  </r>
  <r>
    <n v="1084"/>
    <x v="53"/>
    <s v="Alice"/>
    <s v="West"/>
    <x v="59"/>
    <x v="9"/>
    <x v="0"/>
    <n v="3497.98"/>
    <n v="3765.31"/>
    <s v="New"/>
    <n v="0.08"/>
    <x v="0"/>
    <x v="0"/>
    <s v="West-Alice"/>
  </r>
  <r>
    <n v="1092"/>
    <x v="54"/>
    <s v="Charlie"/>
    <s v="East"/>
    <x v="60"/>
    <x v="11"/>
    <x v="3"/>
    <n v="4624.16"/>
    <n v="4731.9799999999996"/>
    <s v="New"/>
    <n v="0.2"/>
    <x v="1"/>
    <x v="1"/>
    <s v="East-Charlie"/>
  </r>
  <r>
    <n v="1060"/>
    <x v="55"/>
    <s v="Eve"/>
    <s v="East"/>
    <x v="61"/>
    <x v="18"/>
    <x v="2"/>
    <n v="4110.6000000000004"/>
    <n v="4488.37"/>
    <s v="New"/>
    <n v="0.12"/>
    <x v="2"/>
    <x v="0"/>
    <s v="East-Eve"/>
  </r>
  <r>
    <n v="1071"/>
    <x v="56"/>
    <s v="Eve"/>
    <s v="West"/>
    <x v="62"/>
    <x v="32"/>
    <x v="0"/>
    <n v="2831.23"/>
    <n v="3206.98"/>
    <s v="Returning"/>
    <n v="0.06"/>
    <x v="1"/>
    <x v="1"/>
    <s v="West-Eve"/>
  </r>
  <r>
    <n v="1044"/>
    <x v="57"/>
    <s v="David"/>
    <s v="South"/>
    <x v="63"/>
    <x v="33"/>
    <x v="1"/>
    <n v="3373.46"/>
    <n v="3454.76"/>
    <s v="Returning"/>
    <n v="0.22"/>
    <x v="1"/>
    <x v="1"/>
    <s v="South-David"/>
  </r>
  <r>
    <n v="1008"/>
    <x v="58"/>
    <s v="Eve"/>
    <s v="North"/>
    <x v="64"/>
    <x v="34"/>
    <x v="2"/>
    <n v="4635.2299999999996"/>
    <n v="5075.4399999999996"/>
    <s v="Returning"/>
    <n v="0.05"/>
    <x v="0"/>
    <x v="0"/>
    <s v="North-Eve"/>
  </r>
  <r>
    <n v="1047"/>
    <x v="59"/>
    <s v="Alice"/>
    <s v="East"/>
    <x v="65"/>
    <x v="35"/>
    <x v="3"/>
    <n v="3114.88"/>
    <n v="3256.78"/>
    <s v="Returning"/>
    <n v="0.26"/>
    <x v="2"/>
    <x v="0"/>
    <s v="East-Alice"/>
  </r>
  <r>
    <n v="1035"/>
    <x v="60"/>
    <s v="Alice"/>
    <s v="South"/>
    <x v="66"/>
    <x v="27"/>
    <x v="1"/>
    <n v="4132.79"/>
    <n v="4624.1000000000004"/>
    <s v="New"/>
    <n v="0.15"/>
    <x v="2"/>
    <x v="1"/>
    <s v="South-Alice"/>
  </r>
  <r>
    <n v="1078"/>
    <x v="10"/>
    <s v="David"/>
    <s v="East"/>
    <x v="67"/>
    <x v="29"/>
    <x v="0"/>
    <n v="3459.61"/>
    <n v="3657.23"/>
    <s v="Returning"/>
    <n v="0.03"/>
    <x v="1"/>
    <x v="0"/>
    <s v="East-David"/>
  </r>
  <r>
    <n v="1081"/>
    <x v="61"/>
    <s v="David"/>
    <s v="East"/>
    <x v="68"/>
    <x v="36"/>
    <x v="0"/>
    <n v="2782.08"/>
    <n v="2879.24"/>
    <s v="New"/>
    <n v="0.21"/>
    <x v="1"/>
    <x v="0"/>
    <s v="East-David"/>
  </r>
  <r>
    <n v="1036"/>
    <x v="62"/>
    <s v="David"/>
    <s v="North"/>
    <x v="69"/>
    <x v="37"/>
    <x v="2"/>
    <n v="1247.0999999999999"/>
    <n v="1429.4399999999901"/>
    <s v="New"/>
    <n v="0.16"/>
    <x v="0"/>
    <x v="0"/>
    <s v="North-David"/>
  </r>
  <r>
    <n v="1050"/>
    <x v="63"/>
    <s v="Charlie"/>
    <s v="East"/>
    <x v="70"/>
    <x v="22"/>
    <x v="2"/>
    <n v="2158.69"/>
    <n v="2384.38"/>
    <s v="Returning"/>
    <n v="0.09"/>
    <x v="1"/>
    <x v="1"/>
    <s v="East-Charlie"/>
  </r>
  <r>
    <n v="1004"/>
    <x v="64"/>
    <s v="Eve"/>
    <s v="North"/>
    <x v="71"/>
    <x v="23"/>
    <x v="2"/>
    <n v="4840.33"/>
    <n v="4884.29"/>
    <s v="New"/>
    <n v="0.13"/>
    <x v="0"/>
    <x v="0"/>
    <s v="North-Eve"/>
  </r>
  <r>
    <n v="1002"/>
    <x v="65"/>
    <s v="David"/>
    <s v="North"/>
    <x v="72"/>
    <x v="38"/>
    <x v="0"/>
    <n v="3305.94"/>
    <n v="3599.27"/>
    <s v="New"/>
    <n v="0.09"/>
    <x v="2"/>
    <x v="1"/>
    <s v="North-David"/>
  </r>
  <r>
    <n v="1006"/>
    <x v="66"/>
    <s v="Bob"/>
    <s v="North"/>
    <x v="73"/>
    <x v="37"/>
    <x v="1"/>
    <n v="2843.76"/>
    <n v="3146.6"/>
    <s v="New"/>
    <n v="0.08"/>
    <x v="0"/>
    <x v="1"/>
    <s v="North-Bob"/>
  </r>
  <r>
    <n v="1054"/>
    <x v="67"/>
    <s v="Bob"/>
    <s v="South"/>
    <x v="74"/>
    <x v="9"/>
    <x v="0"/>
    <n v="4668.1400000000003"/>
    <n v="5040.22"/>
    <s v="New"/>
    <n v="0.05"/>
    <x v="1"/>
    <x v="0"/>
    <s v="South-Bob"/>
  </r>
  <r>
    <n v="1004"/>
    <x v="68"/>
    <s v="Alice"/>
    <s v="West"/>
    <x v="75"/>
    <x v="39"/>
    <x v="3"/>
    <n v="2953.23"/>
    <n v="2977.52"/>
    <s v="Returning"/>
    <n v="0.11"/>
    <x v="2"/>
    <x v="1"/>
    <s v="West-Alice"/>
  </r>
  <r>
    <n v="1054"/>
    <x v="69"/>
    <s v="Eve"/>
    <s v="South"/>
    <x v="76"/>
    <x v="11"/>
    <x v="0"/>
    <n v="2654.11"/>
    <n v="2929.32"/>
    <s v="Returning"/>
    <n v="0.08"/>
    <x v="0"/>
    <x v="0"/>
    <s v="South-Eve"/>
  </r>
  <r>
    <n v="1093"/>
    <x v="70"/>
    <s v="David"/>
    <s v="West"/>
    <x v="77"/>
    <x v="12"/>
    <x v="3"/>
    <n v="3808.59"/>
    <n v="3844.51"/>
    <s v="New"/>
    <n v="0.21"/>
    <x v="2"/>
    <x v="0"/>
    <s v="West-David"/>
  </r>
  <r>
    <n v="1063"/>
    <x v="71"/>
    <s v="Bob"/>
    <s v="West"/>
    <x v="78"/>
    <x v="3"/>
    <x v="1"/>
    <n v="3577.69"/>
    <n v="3931.25"/>
    <s v="Returning"/>
    <n v="0.21"/>
    <x v="0"/>
    <x v="1"/>
    <s v="West-Bob"/>
  </r>
  <r>
    <n v="1018"/>
    <x v="72"/>
    <s v="Eve"/>
    <s v="North"/>
    <x v="79"/>
    <x v="40"/>
    <x v="2"/>
    <n v="1006.14"/>
    <n v="1043.45"/>
    <s v="New"/>
    <n v="0.15"/>
    <x v="1"/>
    <x v="1"/>
    <s v="North-Eve"/>
  </r>
  <r>
    <n v="1090"/>
    <x v="73"/>
    <s v="Alice"/>
    <s v="East"/>
    <x v="80"/>
    <x v="1"/>
    <x v="2"/>
    <n v="2382.98"/>
    <n v="2839.73"/>
    <s v="Returning"/>
    <n v="0.23"/>
    <x v="1"/>
    <x v="1"/>
    <s v="East-Alice"/>
  </r>
  <r>
    <n v="1044"/>
    <x v="74"/>
    <s v="Charlie"/>
    <s v="North"/>
    <x v="81"/>
    <x v="32"/>
    <x v="0"/>
    <n v="2388.9499999999998"/>
    <n v="2742.97"/>
    <s v="Returning"/>
    <n v="0.25"/>
    <x v="2"/>
    <x v="1"/>
    <s v="North-Charlie"/>
  </r>
  <r>
    <n v="1034"/>
    <x v="75"/>
    <s v="Eve"/>
    <s v="East"/>
    <x v="82"/>
    <x v="12"/>
    <x v="2"/>
    <n v="1922.21"/>
    <n v="2180.83"/>
    <s v="Returning"/>
    <n v="0.17"/>
    <x v="2"/>
    <x v="1"/>
    <s v="East-Eve"/>
  </r>
  <r>
    <n v="1074"/>
    <x v="76"/>
    <s v="Eve"/>
    <s v="West"/>
    <x v="83"/>
    <x v="34"/>
    <x v="1"/>
    <n v="2610.6"/>
    <n v="2836.94"/>
    <s v="Returning"/>
    <n v="0.19"/>
    <x v="2"/>
    <x v="0"/>
    <s v="West-Eve"/>
  </r>
  <r>
    <n v="1062"/>
    <x v="77"/>
    <s v="Charlie"/>
    <s v="North"/>
    <x v="84"/>
    <x v="40"/>
    <x v="2"/>
    <n v="2094.88"/>
    <n v="2168.91"/>
    <s v="Returning"/>
    <n v="0.08"/>
    <x v="0"/>
    <x v="1"/>
    <s v="North-Charlie"/>
  </r>
  <r>
    <n v="1100"/>
    <x v="78"/>
    <s v="Eve"/>
    <s v="East"/>
    <x v="85"/>
    <x v="39"/>
    <x v="0"/>
    <n v="1036.76"/>
    <n v="1189.3499999999999"/>
    <s v="New"/>
    <n v="0.27"/>
    <x v="1"/>
    <x v="0"/>
    <s v="East-Eve"/>
  </r>
  <r>
    <n v="1014"/>
    <x v="6"/>
    <s v="Alice"/>
    <s v="South"/>
    <x v="86"/>
    <x v="34"/>
    <x v="1"/>
    <n v="2091.21"/>
    <n v="2527"/>
    <s v="Returning"/>
    <n v="0.01"/>
    <x v="2"/>
    <x v="0"/>
    <s v="South-Alice"/>
  </r>
  <r>
    <n v="1095"/>
    <x v="79"/>
    <s v="Alice"/>
    <s v="East"/>
    <x v="87"/>
    <x v="35"/>
    <x v="3"/>
    <n v="407.77"/>
    <n v="860.95"/>
    <s v="New"/>
    <n v="0.1"/>
    <x v="2"/>
    <x v="1"/>
    <s v="East-Alice"/>
  </r>
  <r>
    <n v="1048"/>
    <x v="80"/>
    <s v="Charlie"/>
    <s v="North"/>
    <x v="88"/>
    <x v="41"/>
    <x v="0"/>
    <n v="2900.14"/>
    <n v="2910.5099999999902"/>
    <s v="New"/>
    <n v="0.22"/>
    <x v="2"/>
    <x v="1"/>
    <s v="North-Charlie"/>
  </r>
  <r>
    <n v="1015"/>
    <x v="81"/>
    <s v="David"/>
    <s v="South"/>
    <x v="89"/>
    <x v="33"/>
    <x v="3"/>
    <n v="4275.59"/>
    <n v="4576.72"/>
    <s v="Returning"/>
    <n v="0.02"/>
    <x v="0"/>
    <x v="1"/>
    <s v="South-David"/>
  </r>
  <r>
    <n v="1072"/>
    <x v="61"/>
    <s v="Bob"/>
    <s v="East"/>
    <x v="90"/>
    <x v="42"/>
    <x v="1"/>
    <n v="3640.17"/>
    <n v="4002.63"/>
    <s v="New"/>
    <n v="0.05"/>
    <x v="2"/>
    <x v="1"/>
    <s v="East-Bob"/>
  </r>
  <r>
    <n v="1078"/>
    <x v="41"/>
    <s v="David"/>
    <s v="East"/>
    <x v="91"/>
    <x v="37"/>
    <x v="0"/>
    <n v="1833.95"/>
    <n v="2147.14"/>
    <s v="Returning"/>
    <n v="0.18"/>
    <x v="2"/>
    <x v="1"/>
    <s v="East-David"/>
  </r>
  <r>
    <n v="1087"/>
    <x v="25"/>
    <s v="Eve"/>
    <s v="East"/>
    <x v="92"/>
    <x v="8"/>
    <x v="0"/>
    <n v="481"/>
    <n v="531.02"/>
    <s v="New"/>
    <n v="0.17"/>
    <x v="0"/>
    <x v="0"/>
    <s v="East-Eve"/>
  </r>
  <r>
    <n v="1062"/>
    <x v="82"/>
    <s v="Bob"/>
    <s v="East"/>
    <x v="93"/>
    <x v="43"/>
    <x v="1"/>
    <n v="1050.6400000000001"/>
    <n v="1167.33"/>
    <s v="New"/>
    <n v="0.22"/>
    <x v="0"/>
    <x v="0"/>
    <s v="East-Bob"/>
  </r>
  <r>
    <n v="1040"/>
    <x v="83"/>
    <s v="Charlie"/>
    <s v="East"/>
    <x v="94"/>
    <x v="4"/>
    <x v="2"/>
    <n v="2750.18"/>
    <n v="2882.85"/>
    <s v="Returning"/>
    <n v="0.24"/>
    <x v="2"/>
    <x v="0"/>
    <s v="East-Charlie"/>
  </r>
  <r>
    <n v="1085"/>
    <x v="24"/>
    <s v="Charlie"/>
    <s v="South"/>
    <x v="95"/>
    <x v="5"/>
    <x v="0"/>
    <n v="1074.93"/>
    <n v="1492.48"/>
    <s v="Returning"/>
    <n v="0.04"/>
    <x v="2"/>
    <x v="1"/>
    <s v="South-Charlie"/>
  </r>
  <r>
    <n v="1080"/>
    <x v="3"/>
    <s v="Bob"/>
    <s v="West"/>
    <x v="96"/>
    <x v="1"/>
    <x v="0"/>
    <n v="2742.67"/>
    <n v="2979.64"/>
    <s v="Returning"/>
    <n v="0.01"/>
    <x v="0"/>
    <x v="1"/>
    <s v="West-Bob"/>
  </r>
  <r>
    <n v="1082"/>
    <x v="84"/>
    <s v="Alice"/>
    <s v="South"/>
    <x v="97"/>
    <x v="36"/>
    <x v="3"/>
    <n v="1196.42"/>
    <n v="1444.97"/>
    <s v="Returning"/>
    <n v="0.21"/>
    <x v="1"/>
    <x v="0"/>
    <s v="South-Alice"/>
  </r>
  <r>
    <n v="1053"/>
    <x v="28"/>
    <s v="Bob"/>
    <s v="South"/>
    <x v="98"/>
    <x v="43"/>
    <x v="2"/>
    <n v="4252.17"/>
    <n v="4720.2700000000004"/>
    <s v="New"/>
    <n v="0.09"/>
    <x v="0"/>
    <x v="1"/>
    <s v="South-Bob"/>
  </r>
  <r>
    <n v="1024"/>
    <x v="85"/>
    <s v="Eve"/>
    <s v="South"/>
    <x v="99"/>
    <x v="7"/>
    <x v="3"/>
    <n v="2016.49"/>
    <n v="2338.66"/>
    <s v="Returning"/>
    <n v="0.19"/>
    <x v="1"/>
    <x v="1"/>
    <s v="South-Eve"/>
  </r>
  <r>
    <n v="1026"/>
    <x v="86"/>
    <s v="Alice"/>
    <s v="West"/>
    <x v="100"/>
    <x v="12"/>
    <x v="3"/>
    <n v="1265.48"/>
    <n v="1715.83"/>
    <s v="New"/>
    <n v="0.05"/>
    <x v="2"/>
    <x v="1"/>
    <s v="West-Alice"/>
  </r>
  <r>
    <n v="1089"/>
    <x v="58"/>
    <s v="Charlie"/>
    <s v="North"/>
    <x v="101"/>
    <x v="22"/>
    <x v="2"/>
    <n v="4071.01"/>
    <n v="4304.7"/>
    <s v="New"/>
    <n v="0.14000000000000001"/>
    <x v="2"/>
    <x v="0"/>
    <s v="North-Charlie"/>
  </r>
  <r>
    <n v="1060"/>
    <x v="87"/>
    <s v="Bob"/>
    <s v="West"/>
    <x v="102"/>
    <x v="7"/>
    <x v="2"/>
    <n v="1747.05"/>
    <n v="1830.27"/>
    <s v="New"/>
    <n v="0.15"/>
    <x v="1"/>
    <x v="1"/>
    <s v="West-Bob"/>
  </r>
  <r>
    <n v="1041"/>
    <x v="10"/>
    <s v="David"/>
    <s v="South"/>
    <x v="103"/>
    <x v="11"/>
    <x v="1"/>
    <n v="601.86"/>
    <n v="1067.53"/>
    <s v="New"/>
    <n v="0.18"/>
    <x v="0"/>
    <x v="0"/>
    <s v="South-David"/>
  </r>
  <r>
    <n v="1029"/>
    <x v="88"/>
    <s v="David"/>
    <s v="East"/>
    <x v="104"/>
    <x v="40"/>
    <x v="2"/>
    <n v="2873.53"/>
    <n v="3108.3"/>
    <s v="New"/>
    <n v="0.15"/>
    <x v="2"/>
    <x v="1"/>
    <s v="East-David"/>
  </r>
  <r>
    <n v="1015"/>
    <x v="10"/>
    <s v="Eve"/>
    <s v="East"/>
    <x v="105"/>
    <x v="21"/>
    <x v="0"/>
    <n v="2928.74"/>
    <n v="3027.74"/>
    <s v="New"/>
    <n v="0.15"/>
    <x v="1"/>
    <x v="1"/>
    <s v="East-Eve"/>
  </r>
  <r>
    <n v="1045"/>
    <x v="89"/>
    <s v="David"/>
    <s v="South"/>
    <x v="106"/>
    <x v="31"/>
    <x v="2"/>
    <n v="3587.74"/>
    <n v="3745.91"/>
    <s v="Returning"/>
    <n v="0.1"/>
    <x v="0"/>
    <x v="0"/>
    <s v="South-David"/>
  </r>
  <r>
    <n v="1065"/>
    <x v="90"/>
    <s v="Bob"/>
    <s v="East"/>
    <x v="107"/>
    <x v="0"/>
    <x v="1"/>
    <n v="1239.0899999999999"/>
    <n v="1273.98"/>
    <s v="New"/>
    <n v="0.02"/>
    <x v="1"/>
    <x v="1"/>
    <s v="East-Bob"/>
  </r>
  <r>
    <n v="1089"/>
    <x v="91"/>
    <s v="Bob"/>
    <s v="South"/>
    <x v="108"/>
    <x v="10"/>
    <x v="1"/>
    <n v="2246.67"/>
    <n v="2486.14"/>
    <s v="New"/>
    <n v="0.03"/>
    <x v="0"/>
    <x v="1"/>
    <s v="South-Bob"/>
  </r>
  <r>
    <n v="1071"/>
    <x v="92"/>
    <s v="David"/>
    <s v="East"/>
    <x v="109"/>
    <x v="11"/>
    <x v="1"/>
    <n v="1447.72"/>
    <n v="1875.75"/>
    <s v="New"/>
    <n v="0.13"/>
    <x v="0"/>
    <x v="1"/>
    <s v="East-David"/>
  </r>
  <r>
    <n v="1009"/>
    <x v="14"/>
    <s v="Bob"/>
    <s v="West"/>
    <x v="110"/>
    <x v="19"/>
    <x v="2"/>
    <n v="450.72"/>
    <n v="918.17"/>
    <s v="Returning"/>
    <n v="0.11"/>
    <x v="0"/>
    <x v="0"/>
    <s v="West-Bob"/>
  </r>
  <r>
    <n v="1088"/>
    <x v="93"/>
    <s v="Eve"/>
    <s v="North"/>
    <x v="111"/>
    <x v="26"/>
    <x v="2"/>
    <n v="4389.24"/>
    <n v="4856.2199999999903"/>
    <s v="Returning"/>
    <n v="0.15"/>
    <x v="0"/>
    <x v="1"/>
    <s v="North-Eve"/>
  </r>
  <r>
    <n v="1001"/>
    <x v="94"/>
    <s v="Alice"/>
    <s v="North"/>
    <x v="112"/>
    <x v="29"/>
    <x v="3"/>
    <n v="3657.91"/>
    <n v="3729.27"/>
    <s v="New"/>
    <n v="0.09"/>
    <x v="1"/>
    <x v="1"/>
    <s v="North-Alice"/>
  </r>
  <r>
    <n v="1008"/>
    <x v="95"/>
    <s v="Eve"/>
    <s v="West"/>
    <x v="113"/>
    <x v="38"/>
    <x v="3"/>
    <n v="1542.24"/>
    <n v="1739.45"/>
    <s v="Returning"/>
    <n v="0.21"/>
    <x v="1"/>
    <x v="1"/>
    <s v="West-Eve"/>
  </r>
  <r>
    <n v="1088"/>
    <x v="96"/>
    <s v="Eve"/>
    <s v="West"/>
    <x v="114"/>
    <x v="25"/>
    <x v="0"/>
    <n v="3016.9"/>
    <n v="3040.73"/>
    <s v="New"/>
    <n v="0.26"/>
    <x v="1"/>
    <x v="1"/>
    <s v="West-Eve"/>
  </r>
  <r>
    <n v="1063"/>
    <x v="97"/>
    <s v="Bob"/>
    <s v="South"/>
    <x v="115"/>
    <x v="41"/>
    <x v="3"/>
    <n v="1046.26"/>
    <n v="1475.29"/>
    <s v="Returning"/>
    <n v="0.09"/>
    <x v="1"/>
    <x v="1"/>
    <s v="South-Bob"/>
  </r>
  <r>
    <n v="1011"/>
    <x v="98"/>
    <s v="Alice"/>
    <s v="South"/>
    <x v="116"/>
    <x v="34"/>
    <x v="0"/>
    <n v="4456.67"/>
    <n v="4642.46"/>
    <s v="New"/>
    <n v="0.06"/>
    <x v="1"/>
    <x v="0"/>
    <s v="South-Alice"/>
  </r>
  <r>
    <n v="1081"/>
    <x v="99"/>
    <s v="Bob"/>
    <s v="South"/>
    <x v="117"/>
    <x v="16"/>
    <x v="1"/>
    <n v="618.79"/>
    <n v="938.04"/>
    <s v="Returning"/>
    <n v="0.03"/>
    <x v="0"/>
    <x v="0"/>
    <s v="South-Bob"/>
  </r>
  <r>
    <n v="1008"/>
    <x v="100"/>
    <s v="Charlie"/>
    <s v="East"/>
    <x v="118"/>
    <x v="30"/>
    <x v="3"/>
    <n v="68.989999999999995"/>
    <n v="429.29"/>
    <s v="Returning"/>
    <n v="0.18"/>
    <x v="2"/>
    <x v="1"/>
    <s v="East-Charlie"/>
  </r>
  <r>
    <n v="1035"/>
    <x v="101"/>
    <s v="Bob"/>
    <s v="South"/>
    <x v="119"/>
    <x v="14"/>
    <x v="2"/>
    <n v="2534.94"/>
    <n v="2755.56"/>
    <s v="Returning"/>
    <n v="0.13"/>
    <x v="2"/>
    <x v="1"/>
    <s v="South-Bob"/>
  </r>
  <r>
    <n v="1035"/>
    <x v="42"/>
    <s v="Bob"/>
    <s v="West"/>
    <x v="120"/>
    <x v="20"/>
    <x v="3"/>
    <n v="2936.48"/>
    <n v="3096.64"/>
    <s v="New"/>
    <n v="0.06"/>
    <x v="1"/>
    <x v="0"/>
    <s v="West-Bob"/>
  </r>
  <r>
    <n v="1033"/>
    <x v="102"/>
    <s v="Bob"/>
    <s v="North"/>
    <x v="121"/>
    <x v="25"/>
    <x v="0"/>
    <n v="2915.88"/>
    <n v="3397.36"/>
    <s v="New"/>
    <n v="0.2"/>
    <x v="1"/>
    <x v="1"/>
    <s v="North-Bob"/>
  </r>
  <r>
    <n v="1005"/>
    <x v="103"/>
    <s v="Alice"/>
    <s v="East"/>
    <x v="122"/>
    <x v="26"/>
    <x v="3"/>
    <n v="319.83"/>
    <n v="802.43"/>
    <s v="New"/>
    <n v="0.04"/>
    <x v="2"/>
    <x v="1"/>
    <s v="East-Alice"/>
  </r>
  <r>
    <n v="1041"/>
    <x v="104"/>
    <s v="Bob"/>
    <s v="South"/>
    <x v="123"/>
    <x v="17"/>
    <x v="1"/>
    <n v="1604.52"/>
    <n v="1756.34"/>
    <s v="Returning"/>
    <n v="0.17"/>
    <x v="0"/>
    <x v="1"/>
    <s v="South-Bob"/>
  </r>
  <r>
    <n v="1028"/>
    <x v="5"/>
    <s v="Alice"/>
    <s v="East"/>
    <x v="124"/>
    <x v="38"/>
    <x v="2"/>
    <n v="2521.0300000000002"/>
    <n v="2766.05"/>
    <s v="Returning"/>
    <n v="0.16"/>
    <x v="1"/>
    <x v="1"/>
    <s v="East-Alice"/>
  </r>
  <r>
    <n v="1007"/>
    <x v="103"/>
    <s v="David"/>
    <s v="East"/>
    <x v="125"/>
    <x v="28"/>
    <x v="0"/>
    <n v="1122.07"/>
    <n v="1608.76"/>
    <s v="New"/>
    <n v="0.22"/>
    <x v="0"/>
    <x v="1"/>
    <s v="East-David"/>
  </r>
  <r>
    <n v="1073"/>
    <x v="87"/>
    <s v="Charlie"/>
    <s v="South"/>
    <x v="126"/>
    <x v="27"/>
    <x v="2"/>
    <n v="4369.5"/>
    <n v="4381.8900000000003"/>
    <s v="Returning"/>
    <n v="0.02"/>
    <x v="2"/>
    <x v="1"/>
    <s v="South-Charlie"/>
  </r>
  <r>
    <n v="1072"/>
    <x v="90"/>
    <s v="Alice"/>
    <s v="East"/>
    <x v="127"/>
    <x v="44"/>
    <x v="2"/>
    <n v="481.19"/>
    <n v="693.4"/>
    <s v="New"/>
    <n v="0.27"/>
    <x v="2"/>
    <x v="1"/>
    <s v="East-Alice"/>
  </r>
  <r>
    <n v="1012"/>
    <x v="105"/>
    <s v="David"/>
    <s v="North"/>
    <x v="128"/>
    <x v="24"/>
    <x v="0"/>
    <n v="2462.5500000000002"/>
    <n v="2521.77"/>
    <s v="New"/>
    <n v="0.21"/>
    <x v="1"/>
    <x v="1"/>
    <s v="North-David"/>
  </r>
  <r>
    <n v="1034"/>
    <x v="106"/>
    <s v="Alice"/>
    <s v="West"/>
    <x v="129"/>
    <x v="45"/>
    <x v="2"/>
    <n v="3472.51"/>
    <n v="3732"/>
    <s v="New"/>
    <n v="0.06"/>
    <x v="0"/>
    <x v="0"/>
    <s v="West-Alice"/>
  </r>
  <r>
    <n v="1033"/>
    <x v="107"/>
    <s v="Alice"/>
    <s v="West"/>
    <x v="130"/>
    <x v="38"/>
    <x v="2"/>
    <n v="1345.67"/>
    <n v="1367.76"/>
    <s v="New"/>
    <n v="0.06"/>
    <x v="1"/>
    <x v="0"/>
    <s v="West-Alice"/>
  </r>
  <r>
    <n v="1048"/>
    <x v="108"/>
    <s v="Charlie"/>
    <s v="North"/>
    <x v="131"/>
    <x v="31"/>
    <x v="3"/>
    <n v="3139.99"/>
    <n v="3349.37"/>
    <s v="Returning"/>
    <n v="0.13"/>
    <x v="2"/>
    <x v="1"/>
    <s v="North-Charlie"/>
  </r>
  <r>
    <n v="1023"/>
    <x v="109"/>
    <s v="Eve"/>
    <s v="East"/>
    <x v="132"/>
    <x v="14"/>
    <x v="2"/>
    <n v="4155.46"/>
    <n v="4273.6000000000004"/>
    <s v="Returning"/>
    <n v="0.25"/>
    <x v="0"/>
    <x v="1"/>
    <s v="East-Eve"/>
  </r>
  <r>
    <n v="1062"/>
    <x v="110"/>
    <s v="Eve"/>
    <s v="South"/>
    <x v="133"/>
    <x v="42"/>
    <x v="2"/>
    <n v="992.17"/>
    <n v="1263.49"/>
    <s v="Returning"/>
    <n v="0.25"/>
    <x v="1"/>
    <x v="1"/>
    <s v="South-Eve"/>
  </r>
  <r>
    <n v="1088"/>
    <x v="111"/>
    <s v="Alice"/>
    <s v="East"/>
    <x v="134"/>
    <x v="46"/>
    <x v="2"/>
    <n v="4590.24"/>
    <n v="5088.28"/>
    <s v="New"/>
    <n v="0.16"/>
    <x v="1"/>
    <x v="1"/>
    <s v="East-Alice"/>
  </r>
  <r>
    <n v="1037"/>
    <x v="112"/>
    <s v="Bob"/>
    <s v="North"/>
    <x v="135"/>
    <x v="11"/>
    <x v="2"/>
    <n v="2790.11"/>
    <n v="3192.37"/>
    <s v="Returning"/>
    <n v="0.26"/>
    <x v="1"/>
    <x v="0"/>
    <s v="North-Bob"/>
  </r>
  <r>
    <n v="1099"/>
    <x v="113"/>
    <s v="David"/>
    <s v="East"/>
    <x v="136"/>
    <x v="15"/>
    <x v="0"/>
    <n v="1531.2"/>
    <n v="1955.56"/>
    <s v="New"/>
    <n v="0"/>
    <x v="2"/>
    <x v="0"/>
    <s v="East-David"/>
  </r>
  <r>
    <n v="1044"/>
    <x v="114"/>
    <s v="Bob"/>
    <s v="West"/>
    <x v="137"/>
    <x v="12"/>
    <x v="1"/>
    <n v="2182.75"/>
    <n v="2504.0299999999902"/>
    <s v="New"/>
    <n v="0.01"/>
    <x v="1"/>
    <x v="0"/>
    <s v="West-Bob"/>
  </r>
  <r>
    <n v="1086"/>
    <x v="115"/>
    <s v="Bob"/>
    <s v="East"/>
    <x v="138"/>
    <x v="45"/>
    <x v="3"/>
    <n v="1595.35"/>
    <n v="1625.70999999999"/>
    <s v="New"/>
    <n v="0.27"/>
    <x v="0"/>
    <x v="0"/>
    <s v="East-Bob"/>
  </r>
  <r>
    <n v="1091"/>
    <x v="116"/>
    <s v="Alice"/>
    <s v="North"/>
    <x v="139"/>
    <x v="38"/>
    <x v="2"/>
    <n v="3639.3"/>
    <n v="3750.63"/>
    <s v="New"/>
    <n v="0.23"/>
    <x v="1"/>
    <x v="1"/>
    <s v="North-Alice"/>
  </r>
  <r>
    <n v="1035"/>
    <x v="53"/>
    <s v="Alice"/>
    <s v="West"/>
    <x v="140"/>
    <x v="47"/>
    <x v="2"/>
    <n v="3991.69"/>
    <n v="4454.97"/>
    <s v="New"/>
    <n v="0.14000000000000001"/>
    <x v="2"/>
    <x v="1"/>
    <s v="West-Alice"/>
  </r>
  <r>
    <n v="1065"/>
    <x v="117"/>
    <s v="Alice"/>
    <s v="East"/>
    <x v="141"/>
    <x v="45"/>
    <x v="0"/>
    <n v="4173.04"/>
    <n v="4362.4399999999996"/>
    <s v="New"/>
    <n v="0.23"/>
    <x v="1"/>
    <x v="1"/>
    <s v="East-Alice"/>
  </r>
  <r>
    <n v="1099"/>
    <x v="106"/>
    <s v="Alice"/>
    <s v="East"/>
    <x v="142"/>
    <x v="30"/>
    <x v="1"/>
    <n v="4929.55"/>
    <n v="4990.33"/>
    <s v="Returning"/>
    <n v="0.28999999999999998"/>
    <x v="2"/>
    <x v="0"/>
    <s v="East-Alice"/>
  </r>
  <r>
    <n v="1047"/>
    <x v="106"/>
    <s v="Eve"/>
    <s v="West"/>
    <x v="143"/>
    <x v="25"/>
    <x v="2"/>
    <n v="3966.86"/>
    <n v="4321.04"/>
    <s v="Returning"/>
    <n v="0.23"/>
    <x v="2"/>
    <x v="1"/>
    <s v="West-Eve"/>
  </r>
  <r>
    <n v="1078"/>
    <x v="118"/>
    <s v="Alice"/>
    <s v="South"/>
    <x v="144"/>
    <x v="37"/>
    <x v="0"/>
    <n v="3026.85"/>
    <n v="3183.58"/>
    <s v="Returning"/>
    <n v="0.25"/>
    <x v="0"/>
    <x v="1"/>
    <s v="South-Alice"/>
  </r>
  <r>
    <n v="1003"/>
    <x v="18"/>
    <s v="Eve"/>
    <s v="West"/>
    <x v="145"/>
    <x v="13"/>
    <x v="3"/>
    <n v="1729.14"/>
    <n v="1870.88"/>
    <s v="Returning"/>
    <n v="0.23"/>
    <x v="0"/>
    <x v="0"/>
    <s v="West-Eve"/>
  </r>
  <r>
    <n v="1001"/>
    <x v="39"/>
    <s v="Eve"/>
    <s v="South"/>
    <x v="146"/>
    <x v="22"/>
    <x v="3"/>
    <n v="2745.75"/>
    <n v="3244.76"/>
    <s v="New"/>
    <n v="0.05"/>
    <x v="1"/>
    <x v="0"/>
    <s v="South-Eve"/>
  </r>
  <r>
    <n v="1005"/>
    <x v="119"/>
    <s v="Alice"/>
    <s v="North"/>
    <x v="147"/>
    <x v="26"/>
    <x v="2"/>
    <n v="253.29"/>
    <n v="683.78"/>
    <s v="New"/>
    <n v="0.25"/>
    <x v="2"/>
    <x v="0"/>
    <s v="North-Alice"/>
  </r>
  <r>
    <n v="1090"/>
    <x v="109"/>
    <s v="Charlie"/>
    <s v="North"/>
    <x v="148"/>
    <x v="36"/>
    <x v="2"/>
    <n v="3736.88"/>
    <n v="3946.77"/>
    <s v="Returning"/>
    <n v="0.06"/>
    <x v="2"/>
    <x v="0"/>
    <s v="North-Charlie"/>
  </r>
  <r>
    <n v="1014"/>
    <x v="5"/>
    <s v="David"/>
    <s v="West"/>
    <x v="149"/>
    <x v="16"/>
    <x v="1"/>
    <n v="2257.48"/>
    <n v="2747.81"/>
    <s v="Returning"/>
    <n v="0.27"/>
    <x v="0"/>
    <x v="0"/>
    <s v="West-David"/>
  </r>
  <r>
    <n v="1027"/>
    <x v="120"/>
    <s v="Bob"/>
    <s v="West"/>
    <x v="150"/>
    <x v="42"/>
    <x v="1"/>
    <n v="149.11000000000001"/>
    <n v="477.67"/>
    <s v="Returning"/>
    <n v="0.14000000000000001"/>
    <x v="0"/>
    <x v="1"/>
    <s v="West-Bob"/>
  </r>
  <r>
    <n v="1009"/>
    <x v="1"/>
    <s v="Eve"/>
    <s v="North"/>
    <x v="151"/>
    <x v="20"/>
    <x v="2"/>
    <n v="359.41"/>
    <n v="733"/>
    <s v="Returning"/>
    <n v="0.2"/>
    <x v="1"/>
    <x v="1"/>
    <s v="North-Eve"/>
  </r>
  <r>
    <n v="1079"/>
    <x v="121"/>
    <s v="David"/>
    <s v="South"/>
    <x v="152"/>
    <x v="24"/>
    <x v="0"/>
    <n v="1967.96"/>
    <n v="1993.4"/>
    <s v="Returning"/>
    <n v="0.15"/>
    <x v="2"/>
    <x v="0"/>
    <s v="South-David"/>
  </r>
  <r>
    <n v="1015"/>
    <x v="15"/>
    <s v="Charlie"/>
    <s v="North"/>
    <x v="153"/>
    <x v="18"/>
    <x v="1"/>
    <n v="2937.94"/>
    <n v="3007.53"/>
    <s v="Returning"/>
    <n v="0.03"/>
    <x v="0"/>
    <x v="1"/>
    <s v="North-Charlie"/>
  </r>
  <r>
    <n v="1090"/>
    <x v="122"/>
    <s v="Bob"/>
    <s v="West"/>
    <x v="154"/>
    <x v="17"/>
    <x v="2"/>
    <n v="2347.81"/>
    <n v="2668.02"/>
    <s v="Returning"/>
    <n v="0.09"/>
    <x v="1"/>
    <x v="1"/>
    <s v="West-Bob"/>
  </r>
  <r>
    <n v="1042"/>
    <x v="121"/>
    <s v="Bob"/>
    <s v="North"/>
    <x v="155"/>
    <x v="46"/>
    <x v="1"/>
    <n v="3115.06"/>
    <n v="3565.58"/>
    <s v="Returning"/>
    <n v="0.3"/>
    <x v="2"/>
    <x v="1"/>
    <s v="North-Bob"/>
  </r>
  <r>
    <n v="1077"/>
    <x v="61"/>
    <s v="Eve"/>
    <s v="West"/>
    <x v="156"/>
    <x v="26"/>
    <x v="2"/>
    <n v="2427.46"/>
    <n v="2743.09"/>
    <s v="New"/>
    <n v="0.28999999999999998"/>
    <x v="2"/>
    <x v="1"/>
    <s v="West-Eve"/>
  </r>
  <r>
    <n v="1051"/>
    <x v="123"/>
    <s v="Alice"/>
    <s v="West"/>
    <x v="157"/>
    <x v="18"/>
    <x v="3"/>
    <n v="3325.43"/>
    <n v="3401.1"/>
    <s v="New"/>
    <n v="0.1"/>
    <x v="0"/>
    <x v="0"/>
    <s v="West-Alice"/>
  </r>
  <r>
    <n v="1063"/>
    <x v="15"/>
    <s v="Charlie"/>
    <s v="North"/>
    <x v="158"/>
    <x v="41"/>
    <x v="2"/>
    <n v="1134.67"/>
    <n v="1201.3900000000001"/>
    <s v="New"/>
    <n v="0.3"/>
    <x v="1"/>
    <x v="1"/>
    <s v="North-Charlie"/>
  </r>
  <r>
    <n v="1096"/>
    <x v="124"/>
    <s v="Eve"/>
    <s v="South"/>
    <x v="159"/>
    <x v="18"/>
    <x v="3"/>
    <n v="608.57000000000005"/>
    <n v="1032.22"/>
    <s v="New"/>
    <n v="0.25"/>
    <x v="0"/>
    <x v="1"/>
    <s v="South-Eve"/>
  </r>
  <r>
    <n v="1052"/>
    <x v="125"/>
    <s v="Charlie"/>
    <s v="East"/>
    <x v="160"/>
    <x v="10"/>
    <x v="1"/>
    <n v="3002.35"/>
    <n v="3080.61"/>
    <s v="Returning"/>
    <n v="0.18"/>
    <x v="1"/>
    <x v="1"/>
    <s v="East-Charlie"/>
  </r>
  <r>
    <n v="1096"/>
    <x v="126"/>
    <s v="Alice"/>
    <s v="North"/>
    <x v="161"/>
    <x v="10"/>
    <x v="2"/>
    <n v="2449.21"/>
    <n v="2714.12"/>
    <s v="New"/>
    <n v="0.01"/>
    <x v="2"/>
    <x v="0"/>
    <s v="North-Alice"/>
  </r>
  <r>
    <n v="1004"/>
    <x v="35"/>
    <s v="Alice"/>
    <s v="East"/>
    <x v="162"/>
    <x v="21"/>
    <x v="1"/>
    <n v="182.99"/>
    <n v="211.18"/>
    <s v="Returning"/>
    <n v="0.27"/>
    <x v="1"/>
    <x v="1"/>
    <s v="East-Alice"/>
  </r>
  <r>
    <n v="1094"/>
    <x v="69"/>
    <s v="Eve"/>
    <s v="North"/>
    <x v="163"/>
    <x v="44"/>
    <x v="3"/>
    <n v="1933.39"/>
    <n v="1982.92"/>
    <s v="New"/>
    <n v="0.17"/>
    <x v="1"/>
    <x v="0"/>
    <s v="North-Eve"/>
  </r>
  <r>
    <n v="1023"/>
    <x v="99"/>
    <s v="Alice"/>
    <s v="East"/>
    <x v="164"/>
    <x v="39"/>
    <x v="2"/>
    <n v="575.32000000000005"/>
    <n v="914.77"/>
    <s v="Returning"/>
    <n v="0.26"/>
    <x v="1"/>
    <x v="0"/>
    <s v="East-Alice"/>
  </r>
  <r>
    <n v="1015"/>
    <x v="127"/>
    <s v="David"/>
    <s v="South"/>
    <x v="165"/>
    <x v="2"/>
    <x v="1"/>
    <n v="2680.22"/>
    <n v="3027.9199999999901"/>
    <s v="Returning"/>
    <n v="0.25"/>
    <x v="1"/>
    <x v="0"/>
    <s v="South-David"/>
  </r>
  <r>
    <n v="1043"/>
    <x v="128"/>
    <s v="Bob"/>
    <s v="South"/>
    <x v="166"/>
    <x v="45"/>
    <x v="3"/>
    <n v="2009.1"/>
    <n v="2186.42"/>
    <s v="New"/>
    <n v="0.25"/>
    <x v="1"/>
    <x v="0"/>
    <s v="South-Bob"/>
  </r>
  <r>
    <n v="1029"/>
    <x v="111"/>
    <s v="Eve"/>
    <s v="North"/>
    <x v="167"/>
    <x v="9"/>
    <x v="1"/>
    <n v="3085.1"/>
    <n v="3200.75"/>
    <s v="New"/>
    <n v="0.21"/>
    <x v="0"/>
    <x v="1"/>
    <s v="North-Eve"/>
  </r>
  <r>
    <n v="1036"/>
    <x v="40"/>
    <s v="Charlie"/>
    <s v="West"/>
    <x v="168"/>
    <x v="44"/>
    <x v="0"/>
    <n v="4037.73"/>
    <n v="4446.45"/>
    <s v="Returning"/>
    <n v="0.09"/>
    <x v="1"/>
    <x v="0"/>
    <s v="West-Charlie"/>
  </r>
  <r>
    <n v="1013"/>
    <x v="129"/>
    <s v="David"/>
    <s v="East"/>
    <x v="169"/>
    <x v="46"/>
    <x v="3"/>
    <n v="1533.36"/>
    <n v="1649.73999999999"/>
    <s v="Returning"/>
    <n v="0.1"/>
    <x v="1"/>
    <x v="0"/>
    <s v="East-David"/>
  </r>
  <r>
    <n v="1032"/>
    <x v="130"/>
    <s v="Eve"/>
    <s v="West"/>
    <x v="170"/>
    <x v="37"/>
    <x v="3"/>
    <n v="4812.41"/>
    <n v="5088"/>
    <s v="Returning"/>
    <n v="0.09"/>
    <x v="2"/>
    <x v="0"/>
    <s v="West-Eve"/>
  </r>
  <r>
    <n v="1071"/>
    <x v="131"/>
    <s v="Alice"/>
    <s v="West"/>
    <x v="171"/>
    <x v="33"/>
    <x v="3"/>
    <n v="2701.39"/>
    <n v="3185.81"/>
    <s v="New"/>
    <n v="0.01"/>
    <x v="1"/>
    <x v="0"/>
    <s v="West-Alice"/>
  </r>
  <r>
    <n v="1059"/>
    <x v="132"/>
    <s v="Alice"/>
    <s v="West"/>
    <x v="172"/>
    <x v="9"/>
    <x v="2"/>
    <n v="3110.54"/>
    <n v="3192.99"/>
    <s v="New"/>
    <n v="0.17"/>
    <x v="2"/>
    <x v="0"/>
    <s v="West-Alice"/>
  </r>
  <r>
    <n v="1086"/>
    <x v="13"/>
    <s v="Alice"/>
    <s v="South"/>
    <x v="173"/>
    <x v="19"/>
    <x v="2"/>
    <n v="3419.33"/>
    <n v="3890.3599999999901"/>
    <s v="Returning"/>
    <n v="0.21"/>
    <x v="0"/>
    <x v="1"/>
    <s v="South-Alice"/>
  </r>
  <r>
    <n v="1028"/>
    <x v="133"/>
    <s v="Alice"/>
    <s v="North"/>
    <x v="174"/>
    <x v="34"/>
    <x v="2"/>
    <n v="3350.32"/>
    <n v="3449.94"/>
    <s v="New"/>
    <n v="0.26"/>
    <x v="0"/>
    <x v="0"/>
    <s v="North-Alice"/>
  </r>
  <r>
    <n v="1066"/>
    <x v="134"/>
    <s v="Charlie"/>
    <s v="North"/>
    <x v="175"/>
    <x v="13"/>
    <x v="0"/>
    <n v="2579.31"/>
    <n v="2867.36"/>
    <s v="Returning"/>
    <n v="0.04"/>
    <x v="1"/>
    <x v="1"/>
    <s v="North-Charlie"/>
  </r>
  <r>
    <n v="1042"/>
    <x v="120"/>
    <s v="David"/>
    <s v="South"/>
    <x v="176"/>
    <x v="7"/>
    <x v="0"/>
    <n v="2172.38"/>
    <n v="2367.11"/>
    <s v="New"/>
    <n v="0.16"/>
    <x v="0"/>
    <x v="1"/>
    <s v="South-David"/>
  </r>
  <r>
    <n v="1045"/>
    <x v="121"/>
    <s v="Bob"/>
    <s v="South"/>
    <x v="177"/>
    <x v="13"/>
    <x v="3"/>
    <n v="316.22000000000003"/>
    <n v="799.04"/>
    <s v="New"/>
    <n v="0"/>
    <x v="1"/>
    <x v="0"/>
    <s v="South-Bob"/>
  </r>
  <r>
    <n v="1062"/>
    <x v="135"/>
    <s v="Charlie"/>
    <s v="North"/>
    <x v="178"/>
    <x v="7"/>
    <x v="0"/>
    <n v="159.32"/>
    <n v="303.36"/>
    <s v="New"/>
    <n v="0.03"/>
    <x v="0"/>
    <x v="1"/>
    <s v="North-Charlie"/>
  </r>
  <r>
    <n v="1057"/>
    <x v="70"/>
    <s v="Charlie"/>
    <s v="West"/>
    <x v="179"/>
    <x v="44"/>
    <x v="1"/>
    <n v="1821.91"/>
    <n v="2027.74"/>
    <s v="New"/>
    <n v="0.02"/>
    <x v="1"/>
    <x v="1"/>
    <s v="West-Charlie"/>
  </r>
  <r>
    <n v="1006"/>
    <x v="121"/>
    <s v="Bob"/>
    <s v="East"/>
    <x v="180"/>
    <x v="9"/>
    <x v="3"/>
    <n v="1701.62"/>
    <n v="2193.2199999999998"/>
    <s v="New"/>
    <n v="0.22"/>
    <x v="1"/>
    <x v="1"/>
    <s v="East-Bob"/>
  </r>
  <r>
    <n v="1028"/>
    <x v="57"/>
    <s v="Bob"/>
    <s v="East"/>
    <x v="181"/>
    <x v="38"/>
    <x v="3"/>
    <n v="1969.09"/>
    <n v="2241.96"/>
    <s v="Returning"/>
    <n v="0.02"/>
    <x v="2"/>
    <x v="0"/>
    <s v="East-Bob"/>
  </r>
  <r>
    <n v="1028"/>
    <x v="50"/>
    <s v="Alice"/>
    <s v="East"/>
    <x v="182"/>
    <x v="47"/>
    <x v="1"/>
    <n v="734.92"/>
    <n v="991.21"/>
    <s v="Returning"/>
    <n v="0.21"/>
    <x v="2"/>
    <x v="0"/>
    <s v="East-Alice"/>
  </r>
  <r>
    <n v="1044"/>
    <x v="136"/>
    <s v="Charlie"/>
    <s v="West"/>
    <x v="183"/>
    <x v="32"/>
    <x v="3"/>
    <n v="3703.93"/>
    <n v="3840.24"/>
    <s v="New"/>
    <n v="7.0000000000000007E-2"/>
    <x v="2"/>
    <x v="0"/>
    <s v="West-Charlie"/>
  </r>
  <r>
    <n v="1084"/>
    <x v="46"/>
    <s v="Eve"/>
    <s v="North"/>
    <x v="184"/>
    <x v="37"/>
    <x v="0"/>
    <n v="4291.97"/>
    <n v="4645.6400000000003"/>
    <s v="Returning"/>
    <n v="0.26"/>
    <x v="2"/>
    <x v="0"/>
    <s v="North-Eve"/>
  </r>
  <r>
    <n v="1030"/>
    <x v="75"/>
    <s v="Bob"/>
    <s v="South"/>
    <x v="185"/>
    <x v="8"/>
    <x v="2"/>
    <n v="4696.6400000000003"/>
    <n v="4713.68"/>
    <s v="Returning"/>
    <n v="0.24"/>
    <x v="1"/>
    <x v="0"/>
    <s v="South-Bob"/>
  </r>
  <r>
    <n v="1062"/>
    <x v="25"/>
    <s v="Bob"/>
    <s v="North"/>
    <x v="186"/>
    <x v="10"/>
    <x v="1"/>
    <n v="2487.19"/>
    <n v="2521.4499999999998"/>
    <s v="New"/>
    <n v="0.28999999999999998"/>
    <x v="0"/>
    <x v="0"/>
    <s v="North-Bob"/>
  </r>
  <r>
    <n v="1075"/>
    <x v="137"/>
    <s v="David"/>
    <s v="West"/>
    <x v="187"/>
    <x v="16"/>
    <x v="0"/>
    <n v="3519.29"/>
    <n v="3822.98"/>
    <s v="Returning"/>
    <n v="0.27"/>
    <x v="1"/>
    <x v="0"/>
    <s v="West-David"/>
  </r>
  <r>
    <n v="1092"/>
    <x v="30"/>
    <s v="Eve"/>
    <s v="South"/>
    <x v="188"/>
    <x v="20"/>
    <x v="1"/>
    <n v="4284.9799999999996"/>
    <n v="4462.3999999999996"/>
    <s v="New"/>
    <n v="0.28000000000000003"/>
    <x v="2"/>
    <x v="1"/>
    <s v="South-Eve"/>
  </r>
  <r>
    <n v="1089"/>
    <x v="138"/>
    <s v="Eve"/>
    <s v="West"/>
    <x v="189"/>
    <x v="18"/>
    <x v="1"/>
    <n v="2120.54"/>
    <n v="2597.67"/>
    <s v="Returning"/>
    <n v="0.26"/>
    <x v="2"/>
    <x v="1"/>
    <s v="West-Eve"/>
  </r>
  <r>
    <n v="1062"/>
    <x v="9"/>
    <s v="Bob"/>
    <s v="East"/>
    <x v="190"/>
    <x v="41"/>
    <x v="3"/>
    <n v="1581.59"/>
    <n v="2034.1499999999901"/>
    <s v="Returning"/>
    <n v="0.21"/>
    <x v="0"/>
    <x v="0"/>
    <s v="East-Bob"/>
  </r>
  <r>
    <n v="1097"/>
    <x v="139"/>
    <s v="Alice"/>
    <s v="East"/>
    <x v="191"/>
    <x v="30"/>
    <x v="3"/>
    <n v="4686.79"/>
    <n v="5046.51"/>
    <s v="Returning"/>
    <n v="0.05"/>
    <x v="2"/>
    <x v="1"/>
    <s v="East-Alice"/>
  </r>
  <r>
    <n v="1001"/>
    <x v="140"/>
    <s v="David"/>
    <s v="West"/>
    <x v="192"/>
    <x v="0"/>
    <x v="0"/>
    <n v="2602.6"/>
    <n v="3013.49"/>
    <s v="Returning"/>
    <n v="0.08"/>
    <x v="1"/>
    <x v="0"/>
    <s v="West-David"/>
  </r>
  <r>
    <n v="1027"/>
    <x v="83"/>
    <s v="Eve"/>
    <s v="South"/>
    <x v="193"/>
    <x v="9"/>
    <x v="1"/>
    <n v="2511.41"/>
    <n v="2848.3999999999901"/>
    <s v="Returning"/>
    <n v="0.06"/>
    <x v="1"/>
    <x v="0"/>
    <s v="South-Eve"/>
  </r>
  <r>
    <n v="1062"/>
    <x v="141"/>
    <s v="Bob"/>
    <s v="South"/>
    <x v="194"/>
    <x v="40"/>
    <x v="3"/>
    <n v="933.16"/>
    <n v="1004.69999999999"/>
    <s v="Returning"/>
    <n v="0.18"/>
    <x v="1"/>
    <x v="0"/>
    <s v="South-Bob"/>
  </r>
  <r>
    <n v="1077"/>
    <x v="142"/>
    <s v="Eve"/>
    <s v="North"/>
    <x v="195"/>
    <x v="22"/>
    <x v="3"/>
    <n v="585.37"/>
    <n v="970.49"/>
    <s v="Returning"/>
    <n v="0.15"/>
    <x v="1"/>
    <x v="1"/>
    <s v="North-Eve"/>
  </r>
  <r>
    <n v="1003"/>
    <x v="124"/>
    <s v="David"/>
    <s v="East"/>
    <x v="196"/>
    <x v="33"/>
    <x v="1"/>
    <n v="4218.43"/>
    <n v="4331.42"/>
    <s v="New"/>
    <n v="0.26"/>
    <x v="1"/>
    <x v="0"/>
    <s v="East-David"/>
  </r>
  <r>
    <n v="1070"/>
    <x v="128"/>
    <s v="David"/>
    <s v="North"/>
    <x v="197"/>
    <x v="11"/>
    <x v="0"/>
    <n v="3089.96"/>
    <n v="3258.45"/>
    <s v="New"/>
    <n v="0.28999999999999998"/>
    <x v="0"/>
    <x v="0"/>
    <s v="North-David"/>
  </r>
  <r>
    <n v="1072"/>
    <x v="143"/>
    <s v="Charlie"/>
    <s v="North"/>
    <x v="198"/>
    <x v="18"/>
    <x v="0"/>
    <n v="1662.83"/>
    <n v="2074.25"/>
    <s v="New"/>
    <n v="0.12"/>
    <x v="1"/>
    <x v="0"/>
    <s v="North-Charlie"/>
  </r>
  <r>
    <n v="1027"/>
    <x v="61"/>
    <s v="Bob"/>
    <s v="West"/>
    <x v="199"/>
    <x v="45"/>
    <x v="1"/>
    <n v="999.09"/>
    <n v="1271.99"/>
    <s v="New"/>
    <n v="0.15"/>
    <x v="2"/>
    <x v="0"/>
    <s v="West-Bob"/>
  </r>
  <r>
    <n v="1009"/>
    <x v="39"/>
    <s v="David"/>
    <s v="West"/>
    <x v="200"/>
    <x v="11"/>
    <x v="0"/>
    <n v="2799.71"/>
    <n v="3231.08"/>
    <s v="Returning"/>
    <n v="0.28999999999999998"/>
    <x v="2"/>
    <x v="1"/>
    <s v="West-David"/>
  </r>
  <r>
    <n v="1062"/>
    <x v="144"/>
    <s v="Charlie"/>
    <s v="North"/>
    <x v="201"/>
    <x v="15"/>
    <x v="3"/>
    <n v="2940.4"/>
    <n v="3054.79"/>
    <s v="Returning"/>
    <n v="0.08"/>
    <x v="2"/>
    <x v="0"/>
    <s v="North-Charlie"/>
  </r>
  <r>
    <n v="1037"/>
    <x v="112"/>
    <s v="Charlie"/>
    <s v="East"/>
    <x v="202"/>
    <x v="44"/>
    <x v="1"/>
    <n v="1074.6199999999999"/>
    <n v="1382.4299999999901"/>
    <s v="Returning"/>
    <n v="0.24"/>
    <x v="2"/>
    <x v="1"/>
    <s v="East-Charlie"/>
  </r>
  <r>
    <n v="1097"/>
    <x v="131"/>
    <s v="Eve"/>
    <s v="West"/>
    <x v="203"/>
    <x v="37"/>
    <x v="3"/>
    <n v="4264.46"/>
    <n v="4315.5200000000004"/>
    <s v="New"/>
    <n v="7.0000000000000007E-2"/>
    <x v="0"/>
    <x v="1"/>
    <s v="West-Eve"/>
  </r>
  <r>
    <n v="1051"/>
    <x v="145"/>
    <s v="Eve"/>
    <s v="North"/>
    <x v="204"/>
    <x v="29"/>
    <x v="2"/>
    <n v="467.11"/>
    <n v="792.21"/>
    <s v="New"/>
    <n v="0.2"/>
    <x v="2"/>
    <x v="0"/>
    <s v="North-Eve"/>
  </r>
  <r>
    <n v="1044"/>
    <x v="146"/>
    <s v="Charlie"/>
    <s v="North"/>
    <x v="205"/>
    <x v="23"/>
    <x v="2"/>
    <n v="1812.66"/>
    <n v="2196.3000000000002"/>
    <s v="New"/>
    <n v="0.08"/>
    <x v="0"/>
    <x v="0"/>
    <s v="North-Charlie"/>
  </r>
  <r>
    <n v="1024"/>
    <x v="147"/>
    <s v="Eve"/>
    <s v="North"/>
    <x v="206"/>
    <x v="47"/>
    <x v="0"/>
    <n v="3417.9"/>
    <n v="3714.52"/>
    <s v="Returning"/>
    <n v="0.27"/>
    <x v="2"/>
    <x v="1"/>
    <s v="North-Eve"/>
  </r>
  <r>
    <n v="1079"/>
    <x v="148"/>
    <s v="David"/>
    <s v="North"/>
    <x v="207"/>
    <x v="27"/>
    <x v="2"/>
    <n v="1406.9"/>
    <n v="1547.35"/>
    <s v="New"/>
    <n v="0.17"/>
    <x v="0"/>
    <x v="1"/>
    <s v="North-David"/>
  </r>
  <r>
    <n v="1059"/>
    <x v="149"/>
    <s v="Alice"/>
    <s v="North"/>
    <x v="208"/>
    <x v="35"/>
    <x v="3"/>
    <n v="4146.99"/>
    <n v="4172.3499999999904"/>
    <s v="Returning"/>
    <n v="0.06"/>
    <x v="0"/>
    <x v="1"/>
    <s v="North-Alice"/>
  </r>
  <r>
    <n v="1032"/>
    <x v="106"/>
    <s v="David"/>
    <s v="North"/>
    <x v="209"/>
    <x v="27"/>
    <x v="2"/>
    <n v="3712.35"/>
    <n v="3780.88"/>
    <s v="New"/>
    <n v="7.0000000000000007E-2"/>
    <x v="0"/>
    <x v="1"/>
    <s v="North-David"/>
  </r>
  <r>
    <n v="1096"/>
    <x v="150"/>
    <s v="Charlie"/>
    <s v="West"/>
    <x v="210"/>
    <x v="34"/>
    <x v="3"/>
    <n v="3955.66"/>
    <n v="4270.59"/>
    <s v="Returning"/>
    <n v="0.15"/>
    <x v="2"/>
    <x v="0"/>
    <s v="West-Charlie"/>
  </r>
  <r>
    <n v="1088"/>
    <x v="1"/>
    <s v="Charlie"/>
    <s v="East"/>
    <x v="211"/>
    <x v="6"/>
    <x v="0"/>
    <n v="639.58000000000004"/>
    <n v="1107.45"/>
    <s v="New"/>
    <n v="0.28999999999999998"/>
    <x v="0"/>
    <x v="1"/>
    <s v="East-Charlie"/>
  </r>
  <r>
    <n v="1052"/>
    <x v="106"/>
    <s v="David"/>
    <s v="North"/>
    <x v="212"/>
    <x v="47"/>
    <x v="0"/>
    <n v="745.71"/>
    <n v="856.91"/>
    <s v="Returning"/>
    <n v="0.23"/>
    <x v="1"/>
    <x v="1"/>
    <s v="North-David"/>
  </r>
  <r>
    <n v="1062"/>
    <x v="94"/>
    <s v="Eve"/>
    <s v="South"/>
    <x v="213"/>
    <x v="14"/>
    <x v="3"/>
    <n v="1468.05"/>
    <n v="1838.21"/>
    <s v="New"/>
    <n v="0.15"/>
    <x v="1"/>
    <x v="1"/>
    <s v="South-Eve"/>
  </r>
  <r>
    <n v="1058"/>
    <x v="151"/>
    <s v="Eve"/>
    <s v="West"/>
    <x v="214"/>
    <x v="10"/>
    <x v="2"/>
    <n v="2614.48"/>
    <n v="3049.04"/>
    <s v="New"/>
    <n v="0.1"/>
    <x v="2"/>
    <x v="1"/>
    <s v="West-Eve"/>
  </r>
  <r>
    <n v="1052"/>
    <x v="64"/>
    <s v="Charlie"/>
    <s v="West"/>
    <x v="215"/>
    <x v="39"/>
    <x v="0"/>
    <n v="3752.68"/>
    <n v="4017.91"/>
    <s v="Returning"/>
    <n v="0.16"/>
    <x v="1"/>
    <x v="0"/>
    <s v="West-Charlie"/>
  </r>
  <r>
    <n v="1012"/>
    <x v="50"/>
    <s v="Bob"/>
    <s v="North"/>
    <x v="216"/>
    <x v="21"/>
    <x v="1"/>
    <n v="4190.83"/>
    <n v="4528.7699999999904"/>
    <s v="Returning"/>
    <n v="0.22"/>
    <x v="1"/>
    <x v="0"/>
    <s v="North-Bob"/>
  </r>
  <r>
    <n v="1039"/>
    <x v="48"/>
    <s v="Eve"/>
    <s v="West"/>
    <x v="217"/>
    <x v="11"/>
    <x v="0"/>
    <n v="3536.46"/>
    <n v="3945.82"/>
    <s v="New"/>
    <n v="0.24"/>
    <x v="1"/>
    <x v="0"/>
    <s v="West-Eve"/>
  </r>
  <r>
    <n v="1002"/>
    <x v="62"/>
    <s v="David"/>
    <s v="North"/>
    <x v="218"/>
    <x v="2"/>
    <x v="2"/>
    <n v="4646.55"/>
    <n v="4784.28"/>
    <s v="Returning"/>
    <n v="0.1"/>
    <x v="2"/>
    <x v="1"/>
    <s v="North-David"/>
  </r>
  <r>
    <n v="1003"/>
    <x v="90"/>
    <s v="Eve"/>
    <s v="East"/>
    <x v="219"/>
    <x v="23"/>
    <x v="1"/>
    <n v="3706.78"/>
    <n v="3862.26"/>
    <s v="New"/>
    <n v="0.22"/>
    <x v="2"/>
    <x v="1"/>
    <s v="East-Eve"/>
  </r>
  <r>
    <n v="1056"/>
    <x v="152"/>
    <s v="David"/>
    <s v="East"/>
    <x v="220"/>
    <x v="40"/>
    <x v="2"/>
    <n v="1566.03"/>
    <n v="1576.34"/>
    <s v="Returning"/>
    <n v="0.2"/>
    <x v="1"/>
    <x v="0"/>
    <s v="East-David"/>
  </r>
  <r>
    <n v="1081"/>
    <x v="153"/>
    <s v="Charlie"/>
    <s v="West"/>
    <x v="221"/>
    <x v="16"/>
    <x v="3"/>
    <n v="1362.15"/>
    <n v="1844.07"/>
    <s v="New"/>
    <n v="0.28999999999999998"/>
    <x v="2"/>
    <x v="0"/>
    <s v="West-Charlie"/>
  </r>
  <r>
    <n v="1059"/>
    <x v="154"/>
    <s v="Eve"/>
    <s v="West"/>
    <x v="222"/>
    <x v="26"/>
    <x v="1"/>
    <n v="3496.15"/>
    <n v="3955.75"/>
    <s v="Returning"/>
    <n v="0.28000000000000003"/>
    <x v="0"/>
    <x v="1"/>
    <s v="West-Eve"/>
  </r>
  <r>
    <n v="1002"/>
    <x v="155"/>
    <s v="David"/>
    <s v="South"/>
    <x v="223"/>
    <x v="3"/>
    <x v="2"/>
    <n v="1004.71"/>
    <n v="1389.35"/>
    <s v="New"/>
    <n v="0.24"/>
    <x v="1"/>
    <x v="0"/>
    <s v="South-David"/>
  </r>
  <r>
    <n v="1002"/>
    <x v="156"/>
    <s v="Charlie"/>
    <s v="West"/>
    <x v="224"/>
    <x v="42"/>
    <x v="1"/>
    <n v="508.94"/>
    <n v="557.69000000000005"/>
    <s v="New"/>
    <n v="0.22"/>
    <x v="2"/>
    <x v="1"/>
    <s v="West-Charlie"/>
  </r>
  <r>
    <n v="1092"/>
    <x v="157"/>
    <s v="Bob"/>
    <s v="South"/>
    <x v="225"/>
    <x v="4"/>
    <x v="2"/>
    <n v="2684.5"/>
    <n v="2913.78"/>
    <s v="New"/>
    <n v="0.08"/>
    <x v="2"/>
    <x v="1"/>
    <s v="South-Bob"/>
  </r>
  <r>
    <n v="1054"/>
    <x v="87"/>
    <s v="David"/>
    <s v="East"/>
    <x v="226"/>
    <x v="29"/>
    <x v="1"/>
    <n v="4117.13"/>
    <n v="4177.0600000000004"/>
    <s v="Returning"/>
    <n v="0.25"/>
    <x v="1"/>
    <x v="1"/>
    <s v="East-David"/>
  </r>
  <r>
    <n v="1087"/>
    <x v="158"/>
    <s v="Bob"/>
    <s v="East"/>
    <x v="227"/>
    <x v="40"/>
    <x v="2"/>
    <n v="551.83000000000004"/>
    <n v="569.63"/>
    <s v="New"/>
    <n v="0.13"/>
    <x v="2"/>
    <x v="1"/>
    <s v="East-Bob"/>
  </r>
  <r>
    <n v="1096"/>
    <x v="159"/>
    <s v="Bob"/>
    <s v="North"/>
    <x v="228"/>
    <x v="2"/>
    <x v="3"/>
    <n v="3969.86"/>
    <n v="4281.79"/>
    <s v="Returning"/>
    <n v="0.08"/>
    <x v="1"/>
    <x v="1"/>
    <s v="North-Bob"/>
  </r>
  <r>
    <n v="1097"/>
    <x v="91"/>
    <s v="Alice"/>
    <s v="East"/>
    <x v="229"/>
    <x v="14"/>
    <x v="1"/>
    <n v="4067.28"/>
    <n v="4548.09"/>
    <s v="Returning"/>
    <n v="0.12"/>
    <x v="2"/>
    <x v="1"/>
    <s v="East-Alice"/>
  </r>
  <r>
    <n v="1001"/>
    <x v="160"/>
    <s v="Eve"/>
    <s v="South"/>
    <x v="230"/>
    <x v="3"/>
    <x v="1"/>
    <n v="2437.2600000000002"/>
    <n v="2889.67"/>
    <s v="Returning"/>
    <n v="0.25"/>
    <x v="0"/>
    <x v="0"/>
    <s v="South-Eve"/>
  </r>
  <r>
    <n v="1019"/>
    <x v="146"/>
    <s v="David"/>
    <s v="West"/>
    <x v="231"/>
    <x v="17"/>
    <x v="1"/>
    <n v="333.69"/>
    <n v="685.1"/>
    <s v="New"/>
    <n v="0.04"/>
    <x v="1"/>
    <x v="0"/>
    <s v="West-David"/>
  </r>
  <r>
    <n v="1002"/>
    <x v="6"/>
    <s v="Bob"/>
    <s v="North"/>
    <x v="232"/>
    <x v="9"/>
    <x v="1"/>
    <n v="914.22"/>
    <n v="971.57"/>
    <s v="Returning"/>
    <n v="0.14000000000000001"/>
    <x v="0"/>
    <x v="0"/>
    <s v="North-Bob"/>
  </r>
  <r>
    <n v="1053"/>
    <x v="145"/>
    <s v="Alice"/>
    <s v="South"/>
    <x v="233"/>
    <x v="20"/>
    <x v="3"/>
    <n v="3551.76"/>
    <n v="3696.1"/>
    <s v="Returning"/>
    <n v="0.15"/>
    <x v="1"/>
    <x v="1"/>
    <s v="South-Alice"/>
  </r>
  <r>
    <n v="1044"/>
    <x v="161"/>
    <s v="Charlie"/>
    <s v="West"/>
    <x v="234"/>
    <x v="24"/>
    <x v="1"/>
    <n v="3573.3"/>
    <n v="3740.13"/>
    <s v="Returning"/>
    <n v="0.01"/>
    <x v="2"/>
    <x v="0"/>
    <s v="West-Charlie"/>
  </r>
  <r>
    <n v="1090"/>
    <x v="162"/>
    <s v="David"/>
    <s v="North"/>
    <x v="235"/>
    <x v="17"/>
    <x v="0"/>
    <n v="4496.8599999999997"/>
    <n v="4880.7999999999902"/>
    <s v="New"/>
    <n v="0.06"/>
    <x v="0"/>
    <x v="1"/>
    <s v="North-David"/>
  </r>
  <r>
    <n v="1032"/>
    <x v="163"/>
    <s v="Bob"/>
    <s v="East"/>
    <x v="236"/>
    <x v="44"/>
    <x v="3"/>
    <n v="2934.3"/>
    <n v="3337.4"/>
    <s v="Returning"/>
    <n v="0.25"/>
    <x v="2"/>
    <x v="1"/>
    <s v="East-Bob"/>
  </r>
  <r>
    <n v="1070"/>
    <x v="58"/>
    <s v="Eve"/>
    <s v="South"/>
    <x v="237"/>
    <x v="26"/>
    <x v="0"/>
    <n v="664.33"/>
    <n v="863.03"/>
    <s v="Returning"/>
    <n v="0.25"/>
    <x v="1"/>
    <x v="1"/>
    <s v="South-Eve"/>
  </r>
  <r>
    <n v="1032"/>
    <x v="78"/>
    <s v="Alice"/>
    <s v="West"/>
    <x v="238"/>
    <x v="21"/>
    <x v="1"/>
    <n v="651"/>
    <n v="865.76"/>
    <s v="Returning"/>
    <n v="0.09"/>
    <x v="1"/>
    <x v="1"/>
    <s v="West-Alice"/>
  </r>
  <r>
    <n v="1068"/>
    <x v="164"/>
    <s v="Bob"/>
    <s v="North"/>
    <x v="239"/>
    <x v="33"/>
    <x v="2"/>
    <n v="3619.61"/>
    <n v="3651.42"/>
    <s v="Returning"/>
    <n v="0.26"/>
    <x v="1"/>
    <x v="0"/>
    <s v="North-Bob"/>
  </r>
  <r>
    <n v="1055"/>
    <x v="165"/>
    <s v="Eve"/>
    <s v="North"/>
    <x v="240"/>
    <x v="11"/>
    <x v="0"/>
    <n v="959.73"/>
    <n v="1111.4100000000001"/>
    <s v="New"/>
    <n v="0.23"/>
    <x v="1"/>
    <x v="0"/>
    <s v="North-Eve"/>
  </r>
  <r>
    <n v="1075"/>
    <x v="117"/>
    <s v="Bob"/>
    <s v="East"/>
    <x v="241"/>
    <x v="35"/>
    <x v="1"/>
    <n v="1675.51"/>
    <n v="1906.6399999999901"/>
    <s v="New"/>
    <n v="0.13"/>
    <x v="1"/>
    <x v="0"/>
    <s v="East-Bob"/>
  </r>
  <r>
    <n v="1056"/>
    <x v="28"/>
    <s v="David"/>
    <s v="West"/>
    <x v="242"/>
    <x v="20"/>
    <x v="0"/>
    <n v="2461.6999999999998"/>
    <n v="2529.02"/>
    <s v="Returning"/>
    <n v="0.22"/>
    <x v="0"/>
    <x v="1"/>
    <s v="West-David"/>
  </r>
  <r>
    <n v="1017"/>
    <x v="166"/>
    <s v="David"/>
    <s v="East"/>
    <x v="243"/>
    <x v="21"/>
    <x v="1"/>
    <n v="172.59"/>
    <n v="404.69"/>
    <s v="Returning"/>
    <n v="0.28999999999999998"/>
    <x v="1"/>
    <x v="0"/>
    <s v="East-David"/>
  </r>
  <r>
    <n v="1038"/>
    <x v="163"/>
    <s v="David"/>
    <s v="East"/>
    <x v="244"/>
    <x v="21"/>
    <x v="1"/>
    <n v="1281.6500000000001"/>
    <n v="1709.71"/>
    <s v="Returning"/>
    <n v="0.14000000000000001"/>
    <x v="2"/>
    <x v="0"/>
    <s v="East-David"/>
  </r>
  <r>
    <n v="1024"/>
    <x v="167"/>
    <s v="Alice"/>
    <s v="West"/>
    <x v="245"/>
    <x v="31"/>
    <x v="1"/>
    <n v="2069.0500000000002"/>
    <n v="2363.9"/>
    <s v="Returning"/>
    <n v="7.0000000000000007E-2"/>
    <x v="0"/>
    <x v="0"/>
    <s v="West-Alice"/>
  </r>
  <r>
    <n v="1069"/>
    <x v="168"/>
    <s v="David"/>
    <s v="West"/>
    <x v="246"/>
    <x v="31"/>
    <x v="2"/>
    <n v="1434.2"/>
    <n v="1482.88"/>
    <s v="New"/>
    <n v="0.28000000000000003"/>
    <x v="2"/>
    <x v="1"/>
    <s v="West-David"/>
  </r>
  <r>
    <n v="1098"/>
    <x v="96"/>
    <s v="Eve"/>
    <s v="West"/>
    <x v="247"/>
    <x v="9"/>
    <x v="0"/>
    <n v="725.03"/>
    <n v="828.94999999999902"/>
    <s v="New"/>
    <n v="0.18"/>
    <x v="1"/>
    <x v="0"/>
    <s v="West-Eve"/>
  </r>
  <r>
    <n v="1070"/>
    <x v="113"/>
    <s v="Bob"/>
    <s v="South"/>
    <x v="248"/>
    <x v="13"/>
    <x v="3"/>
    <n v="3653.66"/>
    <n v="3896.19"/>
    <s v="New"/>
    <n v="0.03"/>
    <x v="2"/>
    <x v="1"/>
    <s v="South-Bob"/>
  </r>
  <r>
    <n v="1086"/>
    <x v="169"/>
    <s v="Charlie"/>
    <s v="West"/>
    <x v="249"/>
    <x v="1"/>
    <x v="3"/>
    <n v="4075.08"/>
    <n v="4262.21"/>
    <s v="New"/>
    <n v="0.17"/>
    <x v="0"/>
    <x v="0"/>
    <s v="West-Charlie"/>
  </r>
  <r>
    <n v="1011"/>
    <x v="170"/>
    <s v="Eve"/>
    <s v="North"/>
    <x v="250"/>
    <x v="33"/>
    <x v="3"/>
    <n v="1324.52"/>
    <n v="1510.3"/>
    <s v="Returning"/>
    <n v="0.15"/>
    <x v="0"/>
    <x v="1"/>
    <s v="North-Eve"/>
  </r>
  <r>
    <n v="1016"/>
    <x v="59"/>
    <s v="Eve"/>
    <s v="East"/>
    <x v="251"/>
    <x v="34"/>
    <x v="3"/>
    <n v="3883.38"/>
    <n v="4152.72"/>
    <s v="Returning"/>
    <n v="0.26"/>
    <x v="0"/>
    <x v="0"/>
    <s v="East-Eve"/>
  </r>
  <r>
    <n v="1097"/>
    <x v="37"/>
    <s v="David"/>
    <s v="South"/>
    <x v="252"/>
    <x v="22"/>
    <x v="1"/>
    <n v="1958.49"/>
    <n v="2254.84"/>
    <s v="New"/>
    <n v="0.16"/>
    <x v="2"/>
    <x v="0"/>
    <s v="South-David"/>
  </r>
  <r>
    <n v="1073"/>
    <x v="129"/>
    <s v="Alice"/>
    <s v="West"/>
    <x v="253"/>
    <x v="27"/>
    <x v="0"/>
    <n v="2558.09"/>
    <n v="2958.55"/>
    <s v="New"/>
    <n v="0.08"/>
    <x v="0"/>
    <x v="0"/>
    <s v="West-Alice"/>
  </r>
  <r>
    <n v="1059"/>
    <x v="150"/>
    <s v="Bob"/>
    <s v="South"/>
    <x v="254"/>
    <x v="25"/>
    <x v="0"/>
    <n v="4287.21"/>
    <n v="4464.28"/>
    <s v="Returning"/>
    <n v="0.2"/>
    <x v="2"/>
    <x v="1"/>
    <s v="South-Bob"/>
  </r>
  <r>
    <n v="1070"/>
    <x v="171"/>
    <s v="Alice"/>
    <s v="West"/>
    <x v="255"/>
    <x v="29"/>
    <x v="2"/>
    <n v="3762.27"/>
    <n v="4166.95"/>
    <s v="Returning"/>
    <n v="0.16"/>
    <x v="1"/>
    <x v="0"/>
    <s v="West-Alice"/>
  </r>
  <r>
    <n v="1080"/>
    <x v="172"/>
    <s v="Bob"/>
    <s v="South"/>
    <x v="256"/>
    <x v="20"/>
    <x v="0"/>
    <n v="4035.33"/>
    <n v="4211.25"/>
    <s v="Returning"/>
    <n v="7.0000000000000007E-2"/>
    <x v="1"/>
    <x v="0"/>
    <s v="South-Bob"/>
  </r>
  <r>
    <n v="1093"/>
    <x v="173"/>
    <s v="Bob"/>
    <s v="East"/>
    <x v="257"/>
    <x v="1"/>
    <x v="0"/>
    <n v="727.38"/>
    <n v="764.54"/>
    <s v="Returning"/>
    <n v="0.17"/>
    <x v="2"/>
    <x v="1"/>
    <s v="East-Bob"/>
  </r>
  <r>
    <n v="1003"/>
    <x v="174"/>
    <s v="Alice"/>
    <s v="East"/>
    <x v="258"/>
    <x v="1"/>
    <x v="0"/>
    <n v="395.11"/>
    <n v="676.66"/>
    <s v="Returning"/>
    <n v="0.25"/>
    <x v="0"/>
    <x v="1"/>
    <s v="East-Alice"/>
  </r>
  <r>
    <n v="1020"/>
    <x v="175"/>
    <s v="Eve"/>
    <s v="North"/>
    <x v="259"/>
    <x v="42"/>
    <x v="2"/>
    <n v="4472.3500000000004"/>
    <n v="4770.42"/>
    <s v="New"/>
    <n v="0.01"/>
    <x v="2"/>
    <x v="1"/>
    <s v="North-Eve"/>
  </r>
  <r>
    <n v="1059"/>
    <x v="109"/>
    <s v="Bob"/>
    <s v="North"/>
    <x v="260"/>
    <x v="4"/>
    <x v="3"/>
    <n v="1969.78"/>
    <n v="2437.6999999999998"/>
    <s v="New"/>
    <n v="0.19"/>
    <x v="2"/>
    <x v="1"/>
    <s v="North-Bob"/>
  </r>
  <r>
    <n v="1036"/>
    <x v="162"/>
    <s v="Alice"/>
    <s v="West"/>
    <x v="261"/>
    <x v="1"/>
    <x v="0"/>
    <n v="1475"/>
    <n v="1840.77"/>
    <s v="Returning"/>
    <n v="0.1"/>
    <x v="2"/>
    <x v="0"/>
    <s v="West-Alice"/>
  </r>
  <r>
    <n v="1019"/>
    <x v="26"/>
    <s v="Bob"/>
    <s v="East"/>
    <x v="262"/>
    <x v="34"/>
    <x v="2"/>
    <n v="3637.25"/>
    <n v="4096.96"/>
    <s v="Returning"/>
    <n v="0.09"/>
    <x v="1"/>
    <x v="0"/>
    <s v="East-Bob"/>
  </r>
  <r>
    <n v="1090"/>
    <x v="170"/>
    <s v="Charlie"/>
    <s v="South"/>
    <x v="263"/>
    <x v="1"/>
    <x v="2"/>
    <n v="4190.26"/>
    <n v="4645.3500000000004"/>
    <s v="New"/>
    <n v="0.12"/>
    <x v="2"/>
    <x v="1"/>
    <s v="South-Charlie"/>
  </r>
  <r>
    <n v="1067"/>
    <x v="8"/>
    <s v="Eve"/>
    <s v="South"/>
    <x v="264"/>
    <x v="10"/>
    <x v="1"/>
    <n v="4319.32"/>
    <n v="4625.5599999999904"/>
    <s v="Returning"/>
    <n v="0.1"/>
    <x v="1"/>
    <x v="0"/>
    <s v="South-Eve"/>
  </r>
  <r>
    <n v="1019"/>
    <x v="18"/>
    <s v="David"/>
    <s v="South"/>
    <x v="265"/>
    <x v="28"/>
    <x v="2"/>
    <n v="1614.19"/>
    <n v="1882.79"/>
    <s v="New"/>
    <n v="0.25"/>
    <x v="2"/>
    <x v="1"/>
    <s v="South-David"/>
  </r>
  <r>
    <n v="1020"/>
    <x v="176"/>
    <s v="Bob"/>
    <s v="North"/>
    <x v="266"/>
    <x v="27"/>
    <x v="3"/>
    <n v="4268.45"/>
    <n v="4551.5999999999904"/>
    <s v="New"/>
    <n v="0.08"/>
    <x v="1"/>
    <x v="0"/>
    <s v="North-Bob"/>
  </r>
  <r>
    <n v="1096"/>
    <x v="67"/>
    <s v="Charlie"/>
    <s v="South"/>
    <x v="267"/>
    <x v="32"/>
    <x v="0"/>
    <n v="252.62"/>
    <n v="742"/>
    <s v="New"/>
    <n v="0.22"/>
    <x v="2"/>
    <x v="1"/>
    <s v="South-Charlie"/>
  </r>
  <r>
    <n v="1071"/>
    <x v="177"/>
    <s v="David"/>
    <s v="North"/>
    <x v="268"/>
    <x v="22"/>
    <x v="2"/>
    <n v="295.82"/>
    <n v="684.67"/>
    <s v="New"/>
    <n v="0.03"/>
    <x v="2"/>
    <x v="0"/>
    <s v="North-David"/>
  </r>
  <r>
    <n v="1052"/>
    <x v="178"/>
    <s v="David"/>
    <s v="North"/>
    <x v="269"/>
    <x v="7"/>
    <x v="3"/>
    <n v="3136.42"/>
    <n v="3198.49"/>
    <s v="Returning"/>
    <n v="0.28999999999999998"/>
    <x v="0"/>
    <x v="1"/>
    <s v="North-David"/>
  </r>
  <r>
    <n v="1033"/>
    <x v="113"/>
    <s v="Bob"/>
    <s v="West"/>
    <x v="270"/>
    <x v="28"/>
    <x v="2"/>
    <n v="362.38"/>
    <n v="753.81"/>
    <s v="Returning"/>
    <n v="0.19"/>
    <x v="0"/>
    <x v="1"/>
    <s v="West-Bob"/>
  </r>
  <r>
    <n v="1040"/>
    <x v="16"/>
    <s v="Alice"/>
    <s v="South"/>
    <x v="271"/>
    <x v="20"/>
    <x v="2"/>
    <n v="1656.82"/>
    <n v="1750.3799999999901"/>
    <s v="New"/>
    <n v="0.21"/>
    <x v="2"/>
    <x v="0"/>
    <s v="South-Alice"/>
  </r>
  <r>
    <n v="1039"/>
    <x v="168"/>
    <s v="Bob"/>
    <s v="South"/>
    <x v="272"/>
    <x v="29"/>
    <x v="2"/>
    <n v="3380.14"/>
    <n v="3609.3399999999901"/>
    <s v="Returning"/>
    <n v="0.09"/>
    <x v="2"/>
    <x v="0"/>
    <s v="South-Bob"/>
  </r>
  <r>
    <n v="1082"/>
    <x v="179"/>
    <s v="Charlie"/>
    <s v="East"/>
    <x v="273"/>
    <x v="13"/>
    <x v="2"/>
    <n v="1719.47"/>
    <n v="1832.6"/>
    <s v="Returning"/>
    <n v="0.12"/>
    <x v="2"/>
    <x v="0"/>
    <s v="East-Charlie"/>
  </r>
  <r>
    <n v="1001"/>
    <x v="180"/>
    <s v="David"/>
    <s v="West"/>
    <x v="274"/>
    <x v="30"/>
    <x v="2"/>
    <n v="939.02"/>
    <n v="1286.92"/>
    <s v="Returning"/>
    <n v="7.0000000000000007E-2"/>
    <x v="2"/>
    <x v="1"/>
    <s v="West-David"/>
  </r>
  <r>
    <n v="1011"/>
    <x v="181"/>
    <s v="Bob"/>
    <s v="East"/>
    <x v="275"/>
    <x v="4"/>
    <x v="3"/>
    <n v="1442.69"/>
    <n v="1882.57"/>
    <s v="Returning"/>
    <n v="0.28000000000000003"/>
    <x v="0"/>
    <x v="0"/>
    <s v="East-Bob"/>
  </r>
  <r>
    <n v="1092"/>
    <x v="76"/>
    <s v="Alice"/>
    <s v="West"/>
    <x v="276"/>
    <x v="37"/>
    <x v="0"/>
    <n v="2315"/>
    <n v="2467.2800000000002"/>
    <s v="New"/>
    <n v="0.15"/>
    <x v="1"/>
    <x v="1"/>
    <s v="West-Alice"/>
  </r>
  <r>
    <n v="1057"/>
    <x v="92"/>
    <s v="Bob"/>
    <s v="South"/>
    <x v="277"/>
    <x v="17"/>
    <x v="0"/>
    <n v="2403.16"/>
    <n v="2453.35"/>
    <s v="Returning"/>
    <n v="0.19"/>
    <x v="2"/>
    <x v="0"/>
    <s v="South-Bob"/>
  </r>
  <r>
    <n v="1089"/>
    <x v="177"/>
    <s v="Eve"/>
    <s v="North"/>
    <x v="278"/>
    <x v="22"/>
    <x v="0"/>
    <n v="3925.85"/>
    <n v="4082.1099999999901"/>
    <s v="New"/>
    <n v="0.22"/>
    <x v="0"/>
    <x v="0"/>
    <s v="North-Eve"/>
  </r>
  <r>
    <n v="1050"/>
    <x v="141"/>
    <s v="Alice"/>
    <s v="North"/>
    <x v="279"/>
    <x v="32"/>
    <x v="0"/>
    <n v="3763.26"/>
    <n v="4102.72"/>
    <s v="New"/>
    <n v="0.11"/>
    <x v="2"/>
    <x v="1"/>
    <s v="North-Alice"/>
  </r>
  <r>
    <n v="1023"/>
    <x v="40"/>
    <s v="Charlie"/>
    <s v="North"/>
    <x v="280"/>
    <x v="47"/>
    <x v="3"/>
    <n v="2311.25"/>
    <n v="2482.34"/>
    <s v="Returning"/>
    <n v="0.22"/>
    <x v="2"/>
    <x v="1"/>
    <s v="North-Charlie"/>
  </r>
  <r>
    <n v="1031"/>
    <x v="182"/>
    <s v="David"/>
    <s v="North"/>
    <x v="281"/>
    <x v="33"/>
    <x v="1"/>
    <n v="4236.05"/>
    <n v="4382.32"/>
    <s v="New"/>
    <n v="0.2"/>
    <x v="1"/>
    <x v="0"/>
    <s v="North-David"/>
  </r>
  <r>
    <n v="1094"/>
    <x v="113"/>
    <s v="Bob"/>
    <s v="North"/>
    <x v="282"/>
    <x v="37"/>
    <x v="1"/>
    <n v="615.47"/>
    <n v="715.84"/>
    <s v="Returning"/>
    <n v="0.21"/>
    <x v="2"/>
    <x v="1"/>
    <s v="North-Bob"/>
  </r>
  <r>
    <n v="1042"/>
    <x v="183"/>
    <s v="Alice"/>
    <s v="East"/>
    <x v="283"/>
    <x v="18"/>
    <x v="3"/>
    <n v="1314"/>
    <n v="1567.78"/>
    <s v="Returning"/>
    <n v="0.15"/>
    <x v="2"/>
    <x v="1"/>
    <s v="East-Alice"/>
  </r>
  <r>
    <n v="1099"/>
    <x v="143"/>
    <s v="Eve"/>
    <s v="West"/>
    <x v="284"/>
    <x v="44"/>
    <x v="3"/>
    <n v="4148.4799999999996"/>
    <n v="4293.6899999999996"/>
    <s v="New"/>
    <n v="0.11"/>
    <x v="1"/>
    <x v="0"/>
    <s v="West-Eve"/>
  </r>
  <r>
    <n v="1007"/>
    <x v="180"/>
    <s v="Alice"/>
    <s v="South"/>
    <x v="285"/>
    <x v="24"/>
    <x v="2"/>
    <n v="1921.07"/>
    <n v="2289.27"/>
    <s v="Returning"/>
    <n v="7.0000000000000007E-2"/>
    <x v="1"/>
    <x v="1"/>
    <s v="South-Alice"/>
  </r>
  <r>
    <n v="1016"/>
    <x v="184"/>
    <s v="Eve"/>
    <s v="East"/>
    <x v="286"/>
    <x v="42"/>
    <x v="2"/>
    <n v="4906.8500000000004"/>
    <n v="4954.3900000000003"/>
    <s v="New"/>
    <n v="0.25"/>
    <x v="1"/>
    <x v="0"/>
    <s v="East-Eve"/>
  </r>
  <r>
    <n v="1090"/>
    <x v="160"/>
    <s v="Charlie"/>
    <s v="West"/>
    <x v="287"/>
    <x v="20"/>
    <x v="2"/>
    <n v="2357.9499999999998"/>
    <n v="2693.33"/>
    <s v="New"/>
    <n v="0.18"/>
    <x v="1"/>
    <x v="0"/>
    <s v="West-Charlie"/>
  </r>
  <r>
    <n v="1060"/>
    <x v="185"/>
    <s v="David"/>
    <s v="North"/>
    <x v="288"/>
    <x v="47"/>
    <x v="0"/>
    <n v="3970.08"/>
    <n v="4096.4799999999996"/>
    <s v="Returning"/>
    <n v="0.13"/>
    <x v="0"/>
    <x v="1"/>
    <s v="North-David"/>
  </r>
  <r>
    <n v="1002"/>
    <x v="149"/>
    <s v="Charlie"/>
    <s v="West"/>
    <x v="289"/>
    <x v="42"/>
    <x v="2"/>
    <n v="2041.42"/>
    <n v="2291.17"/>
    <s v="Returning"/>
    <n v="0.28000000000000003"/>
    <x v="0"/>
    <x v="0"/>
    <s v="West-Charlie"/>
  </r>
  <r>
    <n v="1001"/>
    <x v="186"/>
    <s v="Bob"/>
    <s v="West"/>
    <x v="290"/>
    <x v="46"/>
    <x v="1"/>
    <n v="2153.52"/>
    <n v="2303.6999999999998"/>
    <s v="Returning"/>
    <n v="0.01"/>
    <x v="0"/>
    <x v="1"/>
    <s v="West-Bob"/>
  </r>
  <r>
    <n v="1048"/>
    <x v="187"/>
    <s v="Alice"/>
    <s v="North"/>
    <x v="291"/>
    <x v="32"/>
    <x v="0"/>
    <n v="1945.27"/>
    <n v="2309.4299999999998"/>
    <s v="New"/>
    <n v="0.26"/>
    <x v="2"/>
    <x v="0"/>
    <s v="North-Alice"/>
  </r>
  <r>
    <n v="1012"/>
    <x v="24"/>
    <s v="Eve"/>
    <s v="North"/>
    <x v="292"/>
    <x v="32"/>
    <x v="2"/>
    <n v="3609.42"/>
    <n v="4082.62"/>
    <s v="Returning"/>
    <n v="0.3"/>
    <x v="1"/>
    <x v="1"/>
    <s v="North-Eve"/>
  </r>
  <r>
    <n v="1069"/>
    <x v="188"/>
    <s v="Eve"/>
    <s v="North"/>
    <x v="293"/>
    <x v="0"/>
    <x v="0"/>
    <n v="2760.21"/>
    <n v="3219.58"/>
    <s v="New"/>
    <n v="0.27"/>
    <x v="1"/>
    <x v="1"/>
    <s v="North-Eve"/>
  </r>
  <r>
    <n v="1037"/>
    <x v="189"/>
    <s v="Alice"/>
    <s v="South"/>
    <x v="294"/>
    <x v="41"/>
    <x v="1"/>
    <n v="4721.7"/>
    <n v="5017.58"/>
    <s v="New"/>
    <n v="0.24"/>
    <x v="0"/>
    <x v="1"/>
    <s v="South-Alice"/>
  </r>
  <r>
    <n v="1032"/>
    <x v="178"/>
    <s v="Alice"/>
    <s v="North"/>
    <x v="295"/>
    <x v="1"/>
    <x v="2"/>
    <n v="1291.9100000000001"/>
    <n v="1528.59"/>
    <s v="Returning"/>
    <n v="0.11"/>
    <x v="2"/>
    <x v="1"/>
    <s v="North-Alice"/>
  </r>
  <r>
    <n v="1009"/>
    <x v="82"/>
    <s v="Bob"/>
    <s v="South"/>
    <x v="296"/>
    <x v="28"/>
    <x v="1"/>
    <n v="547.79"/>
    <n v="958.76"/>
    <s v="Returning"/>
    <n v="7.0000000000000007E-2"/>
    <x v="2"/>
    <x v="1"/>
    <s v="South-Bob"/>
  </r>
  <r>
    <n v="1099"/>
    <x v="95"/>
    <s v="Charlie"/>
    <s v="North"/>
    <x v="297"/>
    <x v="28"/>
    <x v="1"/>
    <n v="1996.64"/>
    <n v="2341.4699999999998"/>
    <s v="Returning"/>
    <n v="0.22"/>
    <x v="2"/>
    <x v="0"/>
    <s v="North-Charlie"/>
  </r>
  <r>
    <n v="1019"/>
    <x v="190"/>
    <s v="Eve"/>
    <s v="South"/>
    <x v="298"/>
    <x v="4"/>
    <x v="1"/>
    <n v="3102.73"/>
    <n v="3202.68"/>
    <s v="New"/>
    <n v="0.09"/>
    <x v="0"/>
    <x v="0"/>
    <s v="South-Eve"/>
  </r>
  <r>
    <n v="1048"/>
    <x v="191"/>
    <s v="Bob"/>
    <s v="West"/>
    <x v="299"/>
    <x v="48"/>
    <x v="2"/>
    <n v="4310.95"/>
    <n v="4723.2"/>
    <s v="Returning"/>
    <n v="0.05"/>
    <x v="2"/>
    <x v="1"/>
    <s v="West-Bob"/>
  </r>
  <r>
    <n v="1080"/>
    <x v="192"/>
    <s v="Charlie"/>
    <s v="East"/>
    <x v="300"/>
    <x v="16"/>
    <x v="3"/>
    <n v="1763.67"/>
    <n v="1983.82"/>
    <s v="New"/>
    <n v="0.24"/>
    <x v="2"/>
    <x v="0"/>
    <s v="East-Charlie"/>
  </r>
  <r>
    <n v="1003"/>
    <x v="160"/>
    <s v="Bob"/>
    <s v="West"/>
    <x v="301"/>
    <x v="13"/>
    <x v="2"/>
    <n v="3286.24"/>
    <n v="3388.8399999999901"/>
    <s v="Returning"/>
    <n v="0.09"/>
    <x v="2"/>
    <x v="1"/>
    <s v="West-Bob"/>
  </r>
  <r>
    <n v="1020"/>
    <x v="101"/>
    <s v="Eve"/>
    <s v="West"/>
    <x v="302"/>
    <x v="12"/>
    <x v="1"/>
    <n v="1783.48"/>
    <n v="1931.56"/>
    <s v="Returning"/>
    <n v="0.27"/>
    <x v="1"/>
    <x v="1"/>
    <s v="West-Eve"/>
  </r>
  <r>
    <n v="1024"/>
    <x v="193"/>
    <s v="Alice"/>
    <s v="North"/>
    <x v="303"/>
    <x v="8"/>
    <x v="2"/>
    <n v="3105.24"/>
    <n v="3246.33"/>
    <s v="New"/>
    <n v="0.25"/>
    <x v="0"/>
    <x v="0"/>
    <s v="North-Alice"/>
  </r>
  <r>
    <n v="1054"/>
    <x v="43"/>
    <s v="Alice"/>
    <s v="South"/>
    <x v="304"/>
    <x v="20"/>
    <x v="1"/>
    <n v="4429.8"/>
    <n v="4694.21"/>
    <s v="New"/>
    <n v="0.25"/>
    <x v="1"/>
    <x v="0"/>
    <s v="South-Alice"/>
  </r>
  <r>
    <n v="1033"/>
    <x v="55"/>
    <s v="Charlie"/>
    <s v="East"/>
    <x v="305"/>
    <x v="16"/>
    <x v="3"/>
    <n v="1195.22"/>
    <n v="1320.06"/>
    <s v="Returning"/>
    <n v="0.23"/>
    <x v="1"/>
    <x v="1"/>
    <s v="East-Charlie"/>
  </r>
  <r>
    <n v="1024"/>
    <x v="194"/>
    <s v="David"/>
    <s v="North"/>
    <x v="306"/>
    <x v="22"/>
    <x v="0"/>
    <n v="2051"/>
    <n v="2121.5500000000002"/>
    <s v="Returning"/>
    <n v="0.26"/>
    <x v="0"/>
    <x v="1"/>
    <s v="North-David"/>
  </r>
  <r>
    <n v="1075"/>
    <x v="195"/>
    <s v="Charlie"/>
    <s v="North"/>
    <x v="307"/>
    <x v="1"/>
    <x v="3"/>
    <n v="4966.66"/>
    <n v="5037.2699999999904"/>
    <s v="Returning"/>
    <n v="0.24"/>
    <x v="1"/>
    <x v="1"/>
    <s v="North-Charlie"/>
  </r>
  <r>
    <n v="1072"/>
    <x v="196"/>
    <s v="David"/>
    <s v="North"/>
    <x v="308"/>
    <x v="22"/>
    <x v="3"/>
    <n v="4349.3599999999997"/>
    <n v="4645.17"/>
    <s v="Returning"/>
    <n v="0.18"/>
    <x v="2"/>
    <x v="1"/>
    <s v="North-David"/>
  </r>
  <r>
    <n v="1036"/>
    <x v="78"/>
    <s v="Bob"/>
    <s v="West"/>
    <x v="309"/>
    <x v="12"/>
    <x v="0"/>
    <n v="2844.97"/>
    <n v="3215"/>
    <s v="Returning"/>
    <n v="0.09"/>
    <x v="2"/>
    <x v="1"/>
    <s v="West-Bob"/>
  </r>
  <r>
    <n v="1038"/>
    <x v="102"/>
    <s v="Bob"/>
    <s v="South"/>
    <x v="310"/>
    <x v="46"/>
    <x v="2"/>
    <n v="2607.31"/>
    <n v="2774.86"/>
    <s v="New"/>
    <n v="0.27"/>
    <x v="2"/>
    <x v="1"/>
    <s v="South-Bob"/>
  </r>
  <r>
    <n v="1084"/>
    <x v="2"/>
    <s v="Eve"/>
    <s v="South"/>
    <x v="311"/>
    <x v="43"/>
    <x v="0"/>
    <n v="1458.77"/>
    <n v="1485.75"/>
    <s v="New"/>
    <n v="0.25"/>
    <x v="2"/>
    <x v="0"/>
    <s v="South-Eve"/>
  </r>
  <r>
    <n v="1099"/>
    <x v="164"/>
    <s v="David"/>
    <s v="East"/>
    <x v="312"/>
    <x v="22"/>
    <x v="2"/>
    <n v="2610.19"/>
    <n v="2682.53"/>
    <s v="New"/>
    <n v="0.14000000000000001"/>
    <x v="0"/>
    <x v="1"/>
    <s v="East-David"/>
  </r>
  <r>
    <n v="1089"/>
    <x v="197"/>
    <s v="Eve"/>
    <s v="South"/>
    <x v="313"/>
    <x v="5"/>
    <x v="2"/>
    <n v="4248.5"/>
    <n v="4706.7"/>
    <s v="New"/>
    <n v="0.01"/>
    <x v="1"/>
    <x v="1"/>
    <s v="South-Eve"/>
  </r>
  <r>
    <n v="1099"/>
    <x v="198"/>
    <s v="Alice"/>
    <s v="South"/>
    <x v="314"/>
    <x v="10"/>
    <x v="1"/>
    <n v="3441.61"/>
    <n v="3693.45"/>
    <s v="Returning"/>
    <n v="0.19"/>
    <x v="1"/>
    <x v="0"/>
    <s v="South-Alice"/>
  </r>
  <r>
    <n v="1025"/>
    <x v="108"/>
    <s v="David"/>
    <s v="North"/>
    <x v="315"/>
    <x v="16"/>
    <x v="1"/>
    <n v="1485.72"/>
    <n v="1717.97"/>
    <s v="New"/>
    <n v="0.02"/>
    <x v="2"/>
    <x v="1"/>
    <s v="North-David"/>
  </r>
  <r>
    <n v="1093"/>
    <x v="199"/>
    <s v="Charlie"/>
    <s v="North"/>
    <x v="316"/>
    <x v="11"/>
    <x v="0"/>
    <n v="1047.25"/>
    <n v="1075.8900000000001"/>
    <s v="New"/>
    <n v="0.28000000000000003"/>
    <x v="2"/>
    <x v="1"/>
    <s v="North-Charlie"/>
  </r>
  <r>
    <n v="1018"/>
    <x v="200"/>
    <s v="Alice"/>
    <s v="West"/>
    <x v="317"/>
    <x v="38"/>
    <x v="3"/>
    <n v="1362.78"/>
    <n v="1729.81"/>
    <s v="New"/>
    <n v="0.28999999999999998"/>
    <x v="1"/>
    <x v="0"/>
    <s v="West-Alice"/>
  </r>
  <r>
    <n v="1082"/>
    <x v="201"/>
    <s v="Alice"/>
    <s v="North"/>
    <x v="318"/>
    <x v="1"/>
    <x v="0"/>
    <n v="890.31"/>
    <n v="1159.06"/>
    <s v="Returning"/>
    <n v="0.06"/>
    <x v="0"/>
    <x v="1"/>
    <s v="North-Alice"/>
  </r>
  <r>
    <n v="1066"/>
    <x v="202"/>
    <s v="Charlie"/>
    <s v="North"/>
    <x v="319"/>
    <x v="48"/>
    <x v="2"/>
    <n v="523.41999999999996"/>
    <n v="632.43999999999903"/>
    <s v="New"/>
    <n v="0.2"/>
    <x v="1"/>
    <x v="0"/>
    <s v="North-Charlie"/>
  </r>
  <r>
    <n v="1054"/>
    <x v="164"/>
    <s v="Alice"/>
    <s v="North"/>
    <x v="320"/>
    <x v="8"/>
    <x v="1"/>
    <n v="2124.7199999999998"/>
    <n v="2188.66"/>
    <s v="Returning"/>
    <n v="0.03"/>
    <x v="2"/>
    <x v="1"/>
    <s v="North-Alice"/>
  </r>
  <r>
    <n v="1035"/>
    <x v="108"/>
    <s v="David"/>
    <s v="North"/>
    <x v="321"/>
    <x v="21"/>
    <x v="0"/>
    <n v="610.83000000000004"/>
    <n v="808.69"/>
    <s v="New"/>
    <n v="0.22"/>
    <x v="2"/>
    <x v="0"/>
    <s v="North-David"/>
  </r>
  <r>
    <n v="1080"/>
    <x v="68"/>
    <s v="Eve"/>
    <s v="West"/>
    <x v="322"/>
    <x v="22"/>
    <x v="0"/>
    <n v="900.97"/>
    <n v="1321.18"/>
    <s v="Returning"/>
    <n v="0.1"/>
    <x v="0"/>
    <x v="0"/>
    <s v="West-Eve"/>
  </r>
  <r>
    <n v="1061"/>
    <x v="89"/>
    <s v="Alice"/>
    <s v="North"/>
    <x v="323"/>
    <x v="5"/>
    <x v="1"/>
    <n v="2759.26"/>
    <n v="3193.25"/>
    <s v="New"/>
    <n v="0.2"/>
    <x v="1"/>
    <x v="0"/>
    <s v="North-Alice"/>
  </r>
  <r>
    <n v="1041"/>
    <x v="203"/>
    <s v="David"/>
    <s v="East"/>
    <x v="324"/>
    <x v="43"/>
    <x v="1"/>
    <n v="864.77"/>
    <n v="1170.1599999999901"/>
    <s v="Returning"/>
    <n v="0.11"/>
    <x v="0"/>
    <x v="1"/>
    <s v="East-David"/>
  </r>
  <r>
    <n v="1100"/>
    <x v="77"/>
    <s v="Bob"/>
    <s v="East"/>
    <x v="325"/>
    <x v="4"/>
    <x v="1"/>
    <n v="366.2"/>
    <n v="732.69"/>
    <s v="New"/>
    <n v="0.04"/>
    <x v="0"/>
    <x v="1"/>
    <s v="East-Bob"/>
  </r>
  <r>
    <n v="1033"/>
    <x v="163"/>
    <s v="David"/>
    <s v="East"/>
    <x v="326"/>
    <x v="32"/>
    <x v="2"/>
    <n v="1621.07"/>
    <n v="1687.5"/>
    <s v="Returning"/>
    <n v="0.12"/>
    <x v="2"/>
    <x v="0"/>
    <s v="East-David"/>
  </r>
  <r>
    <n v="1068"/>
    <x v="29"/>
    <s v="Eve"/>
    <s v="East"/>
    <x v="327"/>
    <x v="28"/>
    <x v="1"/>
    <n v="1140.58"/>
    <n v="1438.76"/>
    <s v="Returning"/>
    <n v="0.03"/>
    <x v="1"/>
    <x v="0"/>
    <s v="East-Eve"/>
  </r>
  <r>
    <n v="1033"/>
    <x v="204"/>
    <s v="David"/>
    <s v="North"/>
    <x v="328"/>
    <x v="35"/>
    <x v="3"/>
    <n v="2600.7600000000002"/>
    <n v="2937.57"/>
    <s v="New"/>
    <n v="0.17"/>
    <x v="2"/>
    <x v="1"/>
    <s v="North-David"/>
  </r>
  <r>
    <n v="1014"/>
    <x v="205"/>
    <s v="Charlie"/>
    <s v="East"/>
    <x v="329"/>
    <x v="10"/>
    <x v="0"/>
    <n v="556.72"/>
    <n v="665.07"/>
    <s v="Returning"/>
    <n v="0.01"/>
    <x v="1"/>
    <x v="1"/>
    <s v="East-Charlie"/>
  </r>
  <r>
    <n v="1021"/>
    <x v="90"/>
    <s v="Eve"/>
    <s v="North"/>
    <x v="330"/>
    <x v="13"/>
    <x v="1"/>
    <n v="3771.27"/>
    <n v="4212.55"/>
    <s v="Returning"/>
    <n v="0.16"/>
    <x v="2"/>
    <x v="1"/>
    <s v="North-Eve"/>
  </r>
  <r>
    <n v="1048"/>
    <x v="206"/>
    <s v="Bob"/>
    <s v="West"/>
    <x v="331"/>
    <x v="20"/>
    <x v="1"/>
    <n v="4535.8599999999997"/>
    <n v="4641.41"/>
    <s v="New"/>
    <n v="0.27"/>
    <x v="2"/>
    <x v="1"/>
    <s v="West-Bob"/>
  </r>
  <r>
    <n v="1020"/>
    <x v="207"/>
    <s v="Charlie"/>
    <s v="East"/>
    <x v="332"/>
    <x v="41"/>
    <x v="2"/>
    <n v="3730"/>
    <n v="3893.6"/>
    <s v="New"/>
    <n v="0.25"/>
    <x v="1"/>
    <x v="1"/>
    <s v="East-Charlie"/>
  </r>
  <r>
    <n v="1008"/>
    <x v="208"/>
    <s v="David"/>
    <s v="South"/>
    <x v="333"/>
    <x v="11"/>
    <x v="2"/>
    <n v="2687.49"/>
    <n v="3001.56"/>
    <s v="Returning"/>
    <n v="0.26"/>
    <x v="1"/>
    <x v="0"/>
    <s v="South-David"/>
  </r>
  <r>
    <n v="1007"/>
    <x v="14"/>
    <s v="Eve"/>
    <s v="East"/>
    <x v="334"/>
    <x v="25"/>
    <x v="0"/>
    <n v="4310.3100000000004"/>
    <n v="4633.1000000000004"/>
    <s v="New"/>
    <n v="0.28000000000000003"/>
    <x v="2"/>
    <x v="1"/>
    <s v="East-Eve"/>
  </r>
  <r>
    <n v="1067"/>
    <x v="119"/>
    <s v="Bob"/>
    <s v="East"/>
    <x v="335"/>
    <x v="40"/>
    <x v="3"/>
    <n v="3489.85"/>
    <n v="3842.5499999999902"/>
    <s v="New"/>
    <n v="0.03"/>
    <x v="1"/>
    <x v="0"/>
    <s v="East-Bob"/>
  </r>
  <r>
    <n v="1017"/>
    <x v="156"/>
    <s v="Charlie"/>
    <s v="North"/>
    <x v="336"/>
    <x v="25"/>
    <x v="0"/>
    <n v="102.23"/>
    <n v="167.12"/>
    <s v="New"/>
    <n v="0.04"/>
    <x v="2"/>
    <x v="1"/>
    <s v="North-Charlie"/>
  </r>
  <r>
    <n v="1033"/>
    <x v="123"/>
    <s v="Bob"/>
    <s v="East"/>
    <x v="337"/>
    <x v="41"/>
    <x v="1"/>
    <n v="2000.75"/>
    <n v="2426.9899999999998"/>
    <s v="Returning"/>
    <n v="0.17"/>
    <x v="1"/>
    <x v="0"/>
    <s v="East-Bob"/>
  </r>
  <r>
    <n v="1048"/>
    <x v="154"/>
    <s v="David"/>
    <s v="South"/>
    <x v="338"/>
    <x v="27"/>
    <x v="3"/>
    <n v="4262.21"/>
    <n v="4533.3100000000004"/>
    <s v="Returning"/>
    <n v="0.27"/>
    <x v="2"/>
    <x v="0"/>
    <s v="South-David"/>
  </r>
  <r>
    <n v="1076"/>
    <x v="2"/>
    <s v="Bob"/>
    <s v="North"/>
    <x v="339"/>
    <x v="42"/>
    <x v="3"/>
    <n v="1762"/>
    <n v="2002.95"/>
    <s v="Returning"/>
    <n v="0.28999999999999998"/>
    <x v="2"/>
    <x v="1"/>
    <s v="North-Bob"/>
  </r>
  <r>
    <n v="1059"/>
    <x v="96"/>
    <s v="Alice"/>
    <s v="North"/>
    <x v="340"/>
    <x v="40"/>
    <x v="3"/>
    <n v="224.32"/>
    <n v="715.06"/>
    <s v="Returning"/>
    <n v="0.01"/>
    <x v="2"/>
    <x v="0"/>
    <s v="North-Alice"/>
  </r>
  <r>
    <n v="1086"/>
    <x v="209"/>
    <s v="Charlie"/>
    <s v="West"/>
    <x v="341"/>
    <x v="5"/>
    <x v="3"/>
    <n v="3743.59"/>
    <n v="4116.38"/>
    <s v="Returning"/>
    <n v="0.11"/>
    <x v="0"/>
    <x v="0"/>
    <s v="West-Charlie"/>
  </r>
  <r>
    <n v="1022"/>
    <x v="210"/>
    <s v="Bob"/>
    <s v="West"/>
    <x v="342"/>
    <x v="27"/>
    <x v="0"/>
    <n v="4020.09"/>
    <n v="4087.91"/>
    <s v="Returning"/>
    <n v="0.06"/>
    <x v="1"/>
    <x v="0"/>
    <s v="West-Bob"/>
  </r>
  <r>
    <n v="1030"/>
    <x v="101"/>
    <s v="David"/>
    <s v="East"/>
    <x v="343"/>
    <x v="39"/>
    <x v="2"/>
    <n v="844.94"/>
    <n v="1225.6400000000001"/>
    <s v="Returning"/>
    <n v="0.23"/>
    <x v="2"/>
    <x v="0"/>
    <s v="East-David"/>
  </r>
  <r>
    <n v="1038"/>
    <x v="108"/>
    <s v="David"/>
    <s v="West"/>
    <x v="344"/>
    <x v="17"/>
    <x v="2"/>
    <n v="2709.84"/>
    <n v="2766.51"/>
    <s v="New"/>
    <n v="0.19"/>
    <x v="0"/>
    <x v="1"/>
    <s v="West-David"/>
  </r>
  <r>
    <n v="1051"/>
    <x v="211"/>
    <s v="Bob"/>
    <s v="West"/>
    <x v="345"/>
    <x v="45"/>
    <x v="1"/>
    <n v="1000.18"/>
    <n v="1023.64"/>
    <s v="Returning"/>
    <n v="0.04"/>
    <x v="2"/>
    <x v="0"/>
    <s v="West-Bob"/>
  </r>
  <r>
    <n v="1054"/>
    <x v="146"/>
    <s v="David"/>
    <s v="West"/>
    <x v="346"/>
    <x v="29"/>
    <x v="2"/>
    <n v="3610.21"/>
    <n v="3817.99"/>
    <s v="Returning"/>
    <n v="0.15"/>
    <x v="0"/>
    <x v="1"/>
    <s v="West-David"/>
  </r>
  <r>
    <n v="1008"/>
    <x v="98"/>
    <s v="Eve"/>
    <s v="North"/>
    <x v="347"/>
    <x v="38"/>
    <x v="2"/>
    <n v="1394.17"/>
    <n v="1891.02"/>
    <s v="New"/>
    <n v="0.21"/>
    <x v="2"/>
    <x v="0"/>
    <s v="North-Eve"/>
  </r>
  <r>
    <n v="1027"/>
    <x v="162"/>
    <s v="Eve"/>
    <s v="North"/>
    <x v="348"/>
    <x v="13"/>
    <x v="2"/>
    <n v="1615.26"/>
    <n v="1710.95"/>
    <s v="New"/>
    <n v="0.23"/>
    <x v="2"/>
    <x v="1"/>
    <s v="North-Eve"/>
  </r>
  <r>
    <n v="1027"/>
    <x v="34"/>
    <s v="Eve"/>
    <s v="North"/>
    <x v="349"/>
    <x v="8"/>
    <x v="2"/>
    <n v="4232.6099999999997"/>
    <n v="4572.21"/>
    <s v="New"/>
    <n v="0.01"/>
    <x v="0"/>
    <x v="1"/>
    <s v="North-Eve"/>
  </r>
  <r>
    <n v="1098"/>
    <x v="27"/>
    <s v="Alice"/>
    <s v="West"/>
    <x v="350"/>
    <x v="17"/>
    <x v="1"/>
    <n v="2407.8000000000002"/>
    <n v="2502.7600000000002"/>
    <s v="Returning"/>
    <n v="0.27"/>
    <x v="0"/>
    <x v="1"/>
    <s v="West-Alice"/>
  </r>
  <r>
    <n v="1021"/>
    <x v="212"/>
    <s v="Bob"/>
    <s v="North"/>
    <x v="351"/>
    <x v="14"/>
    <x v="0"/>
    <n v="3365.28"/>
    <n v="3730.43"/>
    <s v="New"/>
    <n v="0.17"/>
    <x v="1"/>
    <x v="0"/>
    <s v="North-Bob"/>
  </r>
  <r>
    <n v="1030"/>
    <x v="128"/>
    <s v="Alice"/>
    <s v="West"/>
    <x v="352"/>
    <x v="3"/>
    <x v="3"/>
    <n v="2041.75"/>
    <n v="2299.37"/>
    <s v="Returning"/>
    <n v="0.24"/>
    <x v="1"/>
    <x v="1"/>
    <s v="West-Alice"/>
  </r>
  <r>
    <n v="1097"/>
    <x v="213"/>
    <s v="David"/>
    <s v="North"/>
    <x v="353"/>
    <x v="27"/>
    <x v="2"/>
    <n v="1525.13"/>
    <n v="1868.32"/>
    <s v="Returning"/>
    <n v="0.24"/>
    <x v="0"/>
    <x v="1"/>
    <s v="North-David"/>
  </r>
  <r>
    <n v="1028"/>
    <x v="67"/>
    <s v="Alice"/>
    <s v="North"/>
    <x v="354"/>
    <x v="39"/>
    <x v="0"/>
    <n v="3146.12"/>
    <n v="3255.5299999999902"/>
    <s v="Returning"/>
    <n v="0.06"/>
    <x v="1"/>
    <x v="0"/>
    <s v="North-Alice"/>
  </r>
  <r>
    <n v="1064"/>
    <x v="214"/>
    <s v="David"/>
    <s v="South"/>
    <x v="355"/>
    <x v="29"/>
    <x v="2"/>
    <n v="816.54"/>
    <n v="1191.9000000000001"/>
    <s v="New"/>
    <n v="0.03"/>
    <x v="0"/>
    <x v="1"/>
    <s v="South-David"/>
  </r>
  <r>
    <n v="1097"/>
    <x v="215"/>
    <s v="David"/>
    <s v="East"/>
    <x v="356"/>
    <x v="48"/>
    <x v="2"/>
    <n v="1896.35"/>
    <n v="2394.1999999999998"/>
    <s v="New"/>
    <n v="0.22"/>
    <x v="1"/>
    <x v="0"/>
    <s v="East-David"/>
  </r>
  <r>
    <n v="1069"/>
    <x v="216"/>
    <s v="Charlie"/>
    <s v="West"/>
    <x v="357"/>
    <x v="16"/>
    <x v="3"/>
    <n v="1084.73"/>
    <n v="1420.9"/>
    <s v="Returning"/>
    <n v="0.05"/>
    <x v="2"/>
    <x v="0"/>
    <s v="West-Charlie"/>
  </r>
  <r>
    <n v="1061"/>
    <x v="20"/>
    <s v="Eve"/>
    <s v="South"/>
    <x v="358"/>
    <x v="3"/>
    <x v="3"/>
    <n v="3494.19"/>
    <n v="3746"/>
    <s v="Returning"/>
    <n v="0.25"/>
    <x v="1"/>
    <x v="1"/>
    <s v="South-Eve"/>
  </r>
  <r>
    <n v="1048"/>
    <x v="33"/>
    <s v="David"/>
    <s v="North"/>
    <x v="359"/>
    <x v="31"/>
    <x v="3"/>
    <n v="4723.83"/>
    <n v="5186.1899999999996"/>
    <s v="Returning"/>
    <n v="0.22"/>
    <x v="2"/>
    <x v="0"/>
    <s v="North-David"/>
  </r>
  <r>
    <n v="1019"/>
    <x v="178"/>
    <s v="Charlie"/>
    <s v="West"/>
    <x v="360"/>
    <x v="25"/>
    <x v="2"/>
    <n v="4977.78"/>
    <n v="4995.55"/>
    <s v="New"/>
    <n v="0.25"/>
    <x v="2"/>
    <x v="0"/>
    <s v="West-Charlie"/>
  </r>
  <r>
    <n v="1004"/>
    <x v="217"/>
    <s v="Eve"/>
    <s v="North"/>
    <x v="361"/>
    <x v="22"/>
    <x v="2"/>
    <n v="2278.87"/>
    <n v="2646.5299999999902"/>
    <s v="Returning"/>
    <n v="0.09"/>
    <x v="1"/>
    <x v="0"/>
    <s v="North-Eve"/>
  </r>
  <r>
    <n v="1035"/>
    <x v="218"/>
    <s v="David"/>
    <s v="East"/>
    <x v="362"/>
    <x v="2"/>
    <x v="2"/>
    <n v="1300.03"/>
    <n v="1745.52"/>
    <s v="New"/>
    <n v="0.09"/>
    <x v="0"/>
    <x v="1"/>
    <s v="East-David"/>
  </r>
  <r>
    <n v="1064"/>
    <x v="219"/>
    <s v="David"/>
    <s v="South"/>
    <x v="363"/>
    <x v="15"/>
    <x v="3"/>
    <n v="2242.0100000000002"/>
    <n v="2282.23"/>
    <s v="Returning"/>
    <n v="0.2"/>
    <x v="2"/>
    <x v="0"/>
    <s v="South-David"/>
  </r>
  <r>
    <n v="1049"/>
    <x v="131"/>
    <s v="Alice"/>
    <s v="East"/>
    <x v="364"/>
    <x v="34"/>
    <x v="1"/>
    <n v="4243.9799999999996"/>
    <n v="4474.5099999999902"/>
    <s v="New"/>
    <n v="0.01"/>
    <x v="2"/>
    <x v="0"/>
    <s v="East-Alice"/>
  </r>
  <r>
    <n v="1017"/>
    <x v="220"/>
    <s v="Alice"/>
    <s v="South"/>
    <x v="365"/>
    <x v="0"/>
    <x v="0"/>
    <n v="1069.73"/>
    <n v="1180.04"/>
    <s v="Returning"/>
    <n v="0.22"/>
    <x v="1"/>
    <x v="0"/>
    <s v="South-Alice"/>
  </r>
  <r>
    <n v="1044"/>
    <x v="142"/>
    <s v="Eve"/>
    <s v="North"/>
    <x v="366"/>
    <x v="47"/>
    <x v="1"/>
    <n v="4762.87"/>
    <n v="5050.46"/>
    <s v="New"/>
    <n v="0.25"/>
    <x v="0"/>
    <x v="1"/>
    <s v="North-Eve"/>
  </r>
  <r>
    <n v="1092"/>
    <x v="221"/>
    <s v="David"/>
    <s v="East"/>
    <x v="367"/>
    <x v="6"/>
    <x v="2"/>
    <n v="1742.24"/>
    <n v="2070.52"/>
    <s v="New"/>
    <n v="0.12"/>
    <x v="0"/>
    <x v="0"/>
    <s v="East-David"/>
  </r>
  <r>
    <n v="1030"/>
    <x v="222"/>
    <s v="Bob"/>
    <s v="East"/>
    <x v="368"/>
    <x v="3"/>
    <x v="2"/>
    <n v="4929.7299999999996"/>
    <n v="5088.0199999999904"/>
    <s v="New"/>
    <n v="0.23"/>
    <x v="1"/>
    <x v="1"/>
    <s v="East-Bob"/>
  </r>
  <r>
    <n v="1093"/>
    <x v="223"/>
    <s v="Alice"/>
    <s v="North"/>
    <x v="369"/>
    <x v="24"/>
    <x v="1"/>
    <n v="4201.1099999999997"/>
    <n v="4436.5"/>
    <s v="New"/>
    <n v="0.05"/>
    <x v="0"/>
    <x v="0"/>
    <s v="North-Alice"/>
  </r>
  <r>
    <n v="1046"/>
    <x v="54"/>
    <s v="Eve"/>
    <s v="East"/>
    <x v="370"/>
    <x v="8"/>
    <x v="2"/>
    <n v="4052.42"/>
    <n v="4199.3"/>
    <s v="New"/>
    <n v="0.1"/>
    <x v="1"/>
    <x v="1"/>
    <s v="East-Eve"/>
  </r>
  <r>
    <n v="1006"/>
    <x v="70"/>
    <s v="David"/>
    <s v="West"/>
    <x v="371"/>
    <x v="27"/>
    <x v="0"/>
    <n v="1623.63"/>
    <n v="1814.63"/>
    <s v="New"/>
    <n v="0.28999999999999998"/>
    <x v="1"/>
    <x v="1"/>
    <s v="West-David"/>
  </r>
  <r>
    <n v="1099"/>
    <x v="62"/>
    <s v="David"/>
    <s v="South"/>
    <x v="372"/>
    <x v="18"/>
    <x v="2"/>
    <n v="93.45"/>
    <n v="181.62"/>
    <s v="Returning"/>
    <n v="0.3"/>
    <x v="1"/>
    <x v="1"/>
    <s v="South-David"/>
  </r>
  <r>
    <n v="1037"/>
    <x v="224"/>
    <s v="Bob"/>
    <s v="South"/>
    <x v="373"/>
    <x v="47"/>
    <x v="0"/>
    <n v="1941.56"/>
    <n v="2385.48"/>
    <s v="Returning"/>
    <n v="0.15"/>
    <x v="2"/>
    <x v="0"/>
    <s v="South-Bob"/>
  </r>
  <r>
    <n v="1024"/>
    <x v="195"/>
    <s v="Eve"/>
    <s v="South"/>
    <x v="374"/>
    <x v="2"/>
    <x v="1"/>
    <n v="1543.96"/>
    <n v="1558.87"/>
    <s v="Returning"/>
    <n v="0.28000000000000003"/>
    <x v="2"/>
    <x v="0"/>
    <s v="South-Eve"/>
  </r>
  <r>
    <n v="1093"/>
    <x v="11"/>
    <s v="David"/>
    <s v="West"/>
    <x v="375"/>
    <x v="32"/>
    <x v="1"/>
    <n v="235.12"/>
    <n v="677.5"/>
    <s v="Returning"/>
    <n v="0.16"/>
    <x v="2"/>
    <x v="0"/>
    <s v="West-David"/>
  </r>
  <r>
    <n v="1046"/>
    <x v="225"/>
    <s v="Alice"/>
    <s v="South"/>
    <x v="376"/>
    <x v="7"/>
    <x v="2"/>
    <n v="2551.56"/>
    <n v="2841.68"/>
    <s v="New"/>
    <n v="0.09"/>
    <x v="1"/>
    <x v="1"/>
    <s v="South-Alice"/>
  </r>
  <r>
    <n v="1053"/>
    <x v="226"/>
    <s v="Bob"/>
    <s v="North"/>
    <x v="377"/>
    <x v="16"/>
    <x v="0"/>
    <n v="2045"/>
    <n v="2217.5100000000002"/>
    <s v="Returning"/>
    <n v="0.08"/>
    <x v="2"/>
    <x v="0"/>
    <s v="North-Bob"/>
  </r>
  <r>
    <n v="1095"/>
    <x v="182"/>
    <s v="Eve"/>
    <s v="East"/>
    <x v="378"/>
    <x v="41"/>
    <x v="2"/>
    <n v="3191.05"/>
    <n v="3555.35"/>
    <s v="New"/>
    <n v="0.28000000000000003"/>
    <x v="2"/>
    <x v="0"/>
    <s v="East-Eve"/>
  </r>
  <r>
    <n v="1099"/>
    <x v="174"/>
    <s v="Bob"/>
    <s v="West"/>
    <x v="379"/>
    <x v="6"/>
    <x v="3"/>
    <n v="3124.87"/>
    <n v="3383.67"/>
    <s v="New"/>
    <n v="0.05"/>
    <x v="2"/>
    <x v="1"/>
    <s v="West-Bob"/>
  </r>
  <r>
    <n v="1060"/>
    <x v="227"/>
    <s v="Alice"/>
    <s v="South"/>
    <x v="380"/>
    <x v="18"/>
    <x v="3"/>
    <n v="647.70000000000005"/>
    <n v="902.26"/>
    <s v="New"/>
    <n v="0.17"/>
    <x v="1"/>
    <x v="0"/>
    <s v="South-Alice"/>
  </r>
  <r>
    <n v="1097"/>
    <x v="228"/>
    <s v="Eve"/>
    <s v="North"/>
    <x v="381"/>
    <x v="32"/>
    <x v="3"/>
    <n v="4885.9799999999996"/>
    <n v="4949.95"/>
    <s v="Returning"/>
    <n v="0.17"/>
    <x v="1"/>
    <x v="0"/>
    <s v="North-Eve"/>
  </r>
  <r>
    <n v="1063"/>
    <x v="166"/>
    <s v="Bob"/>
    <s v="East"/>
    <x v="382"/>
    <x v="5"/>
    <x v="3"/>
    <n v="975.31"/>
    <n v="1176.17"/>
    <s v="New"/>
    <n v="0.22"/>
    <x v="1"/>
    <x v="1"/>
    <s v="East-Bob"/>
  </r>
  <r>
    <n v="1085"/>
    <x v="189"/>
    <s v="Charlie"/>
    <s v="East"/>
    <x v="383"/>
    <x v="31"/>
    <x v="2"/>
    <n v="2254.11"/>
    <n v="2382.23"/>
    <s v="Returning"/>
    <n v="0.15"/>
    <x v="2"/>
    <x v="1"/>
    <s v="East-Charlie"/>
  </r>
  <r>
    <n v="1032"/>
    <x v="211"/>
    <s v="Alice"/>
    <s v="West"/>
    <x v="384"/>
    <x v="0"/>
    <x v="3"/>
    <n v="2466.1799999999998"/>
    <n v="2483.87"/>
    <s v="Returning"/>
    <n v="0.08"/>
    <x v="0"/>
    <x v="0"/>
    <s v="West-Alice"/>
  </r>
  <r>
    <n v="1087"/>
    <x v="229"/>
    <s v="Alice"/>
    <s v="West"/>
    <x v="385"/>
    <x v="13"/>
    <x v="0"/>
    <n v="4074.66"/>
    <n v="4261.1099999999997"/>
    <s v="Returning"/>
    <n v="0.05"/>
    <x v="2"/>
    <x v="1"/>
    <s v="West-Alice"/>
  </r>
  <r>
    <n v="1033"/>
    <x v="186"/>
    <s v="Alice"/>
    <s v="West"/>
    <x v="386"/>
    <x v="11"/>
    <x v="1"/>
    <n v="541.19000000000005"/>
    <n v="595.20000000000005"/>
    <s v="Returning"/>
    <n v="0.19"/>
    <x v="2"/>
    <x v="0"/>
    <s v="West-Alice"/>
  </r>
  <r>
    <n v="1067"/>
    <x v="173"/>
    <s v="Charlie"/>
    <s v="North"/>
    <x v="387"/>
    <x v="5"/>
    <x v="1"/>
    <n v="2171.79"/>
    <n v="2307.64"/>
    <s v="Returning"/>
    <n v="0.22"/>
    <x v="1"/>
    <x v="0"/>
    <s v="North-Charlie"/>
  </r>
  <r>
    <n v="1018"/>
    <x v="185"/>
    <s v="Charlie"/>
    <s v="North"/>
    <x v="388"/>
    <x v="14"/>
    <x v="3"/>
    <n v="3161.09"/>
    <n v="3216.42"/>
    <s v="New"/>
    <n v="0.17"/>
    <x v="1"/>
    <x v="0"/>
    <s v="North-Charlie"/>
  </r>
  <r>
    <n v="1025"/>
    <x v="230"/>
    <s v="David"/>
    <s v="West"/>
    <x v="389"/>
    <x v="35"/>
    <x v="3"/>
    <n v="1115.02"/>
    <n v="1174.48"/>
    <s v="New"/>
    <n v="0.22"/>
    <x v="2"/>
    <x v="0"/>
    <s v="West-David"/>
  </r>
  <r>
    <n v="1095"/>
    <x v="137"/>
    <s v="Bob"/>
    <s v="South"/>
    <x v="390"/>
    <x v="15"/>
    <x v="3"/>
    <n v="3155.97"/>
    <n v="3263.49"/>
    <s v="Returning"/>
    <n v="0.04"/>
    <x v="2"/>
    <x v="0"/>
    <s v="South-Bob"/>
  </r>
  <r>
    <n v="1054"/>
    <x v="230"/>
    <s v="David"/>
    <s v="East"/>
    <x v="391"/>
    <x v="46"/>
    <x v="2"/>
    <n v="4622.1400000000003"/>
    <n v="5122.07"/>
    <s v="New"/>
    <n v="0.26"/>
    <x v="0"/>
    <x v="1"/>
    <s v="East-David"/>
  </r>
  <r>
    <n v="1058"/>
    <x v="107"/>
    <s v="Bob"/>
    <s v="East"/>
    <x v="392"/>
    <x v="32"/>
    <x v="1"/>
    <n v="4987.71"/>
    <n v="4998.78"/>
    <s v="Returning"/>
    <n v="0.17"/>
    <x v="0"/>
    <x v="1"/>
    <s v="East-Bob"/>
  </r>
  <r>
    <n v="1067"/>
    <x v="231"/>
    <s v="Charlie"/>
    <s v="North"/>
    <x v="393"/>
    <x v="10"/>
    <x v="3"/>
    <n v="210.63"/>
    <n v="533.57999999999902"/>
    <s v="New"/>
    <n v="0.04"/>
    <x v="1"/>
    <x v="0"/>
    <s v="North-Charlie"/>
  </r>
  <r>
    <n v="1046"/>
    <x v="32"/>
    <s v="Charlie"/>
    <s v="East"/>
    <x v="394"/>
    <x v="45"/>
    <x v="0"/>
    <n v="1216.1600000000001"/>
    <n v="1295.3699999999999"/>
    <s v="New"/>
    <n v="0.14000000000000001"/>
    <x v="0"/>
    <x v="1"/>
    <s v="East-Charlie"/>
  </r>
  <r>
    <n v="1024"/>
    <x v="104"/>
    <s v="David"/>
    <s v="South"/>
    <x v="395"/>
    <x v="31"/>
    <x v="3"/>
    <n v="1586.02"/>
    <n v="2047.13"/>
    <s v="New"/>
    <n v="0.25"/>
    <x v="0"/>
    <x v="1"/>
    <s v="South-David"/>
  </r>
  <r>
    <n v="1032"/>
    <x v="232"/>
    <s v="Eve"/>
    <s v="East"/>
    <x v="396"/>
    <x v="23"/>
    <x v="1"/>
    <n v="2025.67"/>
    <n v="2081.5500000000002"/>
    <s v="New"/>
    <n v="0.27"/>
    <x v="1"/>
    <x v="0"/>
    <s v="East-Eve"/>
  </r>
  <r>
    <n v="1047"/>
    <x v="197"/>
    <s v="David"/>
    <s v="North"/>
    <x v="397"/>
    <x v="8"/>
    <x v="3"/>
    <n v="1249.17"/>
    <n v="1727.15"/>
    <s v="New"/>
    <n v="0.08"/>
    <x v="0"/>
    <x v="1"/>
    <s v="North-David"/>
  </r>
  <r>
    <n v="1086"/>
    <x v="233"/>
    <s v="Bob"/>
    <s v="North"/>
    <x v="398"/>
    <x v="1"/>
    <x v="1"/>
    <n v="1057.27"/>
    <n v="1366.62"/>
    <s v="New"/>
    <n v="0.21"/>
    <x v="2"/>
    <x v="1"/>
    <s v="North-Bob"/>
  </r>
  <r>
    <n v="1023"/>
    <x v="234"/>
    <s v="David"/>
    <s v="South"/>
    <x v="399"/>
    <x v="5"/>
    <x v="3"/>
    <n v="4775.04"/>
    <n v="4785.66"/>
    <s v="New"/>
    <n v="0.03"/>
    <x v="0"/>
    <x v="0"/>
    <s v="South-David"/>
  </r>
  <r>
    <n v="1066"/>
    <x v="235"/>
    <s v="Alice"/>
    <s v="South"/>
    <x v="400"/>
    <x v="41"/>
    <x v="0"/>
    <n v="4596.68"/>
    <n v="5044.74"/>
    <s v="New"/>
    <n v="0.01"/>
    <x v="1"/>
    <x v="0"/>
    <s v="South-Alice"/>
  </r>
  <r>
    <n v="1027"/>
    <x v="236"/>
    <s v="Bob"/>
    <s v="East"/>
    <x v="401"/>
    <x v="41"/>
    <x v="3"/>
    <n v="282.61"/>
    <n v="548.25"/>
    <s v="New"/>
    <n v="0.17"/>
    <x v="2"/>
    <x v="0"/>
    <s v="East-Bob"/>
  </r>
  <r>
    <n v="1002"/>
    <x v="21"/>
    <s v="Bob"/>
    <s v="East"/>
    <x v="402"/>
    <x v="1"/>
    <x v="0"/>
    <n v="1727.12"/>
    <n v="1865.83"/>
    <s v="New"/>
    <n v="0.21"/>
    <x v="0"/>
    <x v="0"/>
    <s v="East-Bob"/>
  </r>
  <r>
    <n v="1090"/>
    <x v="168"/>
    <s v="Eve"/>
    <s v="North"/>
    <x v="403"/>
    <x v="36"/>
    <x v="0"/>
    <n v="2055.4899999999998"/>
    <n v="2441.46"/>
    <s v="New"/>
    <n v="0.24"/>
    <x v="2"/>
    <x v="0"/>
    <s v="North-Eve"/>
  </r>
  <r>
    <n v="1017"/>
    <x v="157"/>
    <s v="Charlie"/>
    <s v="South"/>
    <x v="404"/>
    <x v="12"/>
    <x v="3"/>
    <n v="1233.1199999999999"/>
    <n v="1697.1899999999901"/>
    <s v="New"/>
    <n v="0.1"/>
    <x v="2"/>
    <x v="0"/>
    <s v="South-Charlie"/>
  </r>
  <r>
    <n v="1033"/>
    <x v="237"/>
    <s v="Bob"/>
    <s v="South"/>
    <x v="405"/>
    <x v="47"/>
    <x v="0"/>
    <n v="3162.92"/>
    <n v="3409.93"/>
    <s v="New"/>
    <n v="0"/>
    <x v="0"/>
    <x v="0"/>
    <s v="South-Bob"/>
  </r>
  <r>
    <n v="1009"/>
    <x v="238"/>
    <s v="Charlie"/>
    <s v="South"/>
    <x v="406"/>
    <x v="5"/>
    <x v="2"/>
    <n v="3219.88"/>
    <n v="3384.5"/>
    <s v="Returning"/>
    <n v="0.14000000000000001"/>
    <x v="0"/>
    <x v="1"/>
    <s v="South-Charlie"/>
  </r>
  <r>
    <n v="1043"/>
    <x v="186"/>
    <s v="David"/>
    <s v="East"/>
    <x v="407"/>
    <x v="33"/>
    <x v="3"/>
    <n v="4260"/>
    <n v="4656.58"/>
    <s v="New"/>
    <n v="0"/>
    <x v="1"/>
    <x v="0"/>
    <s v="East-David"/>
  </r>
  <r>
    <n v="1048"/>
    <x v="62"/>
    <s v="Alice"/>
    <s v="South"/>
    <x v="408"/>
    <x v="32"/>
    <x v="3"/>
    <n v="3717.3"/>
    <n v="4061.37"/>
    <s v="New"/>
    <n v="0.03"/>
    <x v="1"/>
    <x v="1"/>
    <s v="South-Alice"/>
  </r>
  <r>
    <n v="1039"/>
    <x v="37"/>
    <s v="Eve"/>
    <s v="North"/>
    <x v="409"/>
    <x v="22"/>
    <x v="0"/>
    <n v="2735.74"/>
    <n v="3181.22999999999"/>
    <s v="New"/>
    <n v="0.1"/>
    <x v="2"/>
    <x v="1"/>
    <s v="North-Eve"/>
  </r>
  <r>
    <n v="1093"/>
    <x v="49"/>
    <s v="Charlie"/>
    <s v="North"/>
    <x v="410"/>
    <x v="33"/>
    <x v="0"/>
    <n v="3285.25"/>
    <n v="3634.58"/>
    <s v="New"/>
    <n v="0.13"/>
    <x v="1"/>
    <x v="0"/>
    <s v="North-Charlie"/>
  </r>
  <r>
    <n v="1042"/>
    <x v="239"/>
    <s v="Bob"/>
    <s v="East"/>
    <x v="411"/>
    <x v="21"/>
    <x v="3"/>
    <n v="1406.24"/>
    <n v="1535.57"/>
    <s v="New"/>
    <n v="0.08"/>
    <x v="2"/>
    <x v="1"/>
    <s v="East-Bob"/>
  </r>
  <r>
    <n v="1026"/>
    <x v="173"/>
    <s v="Charlie"/>
    <s v="West"/>
    <x v="412"/>
    <x v="46"/>
    <x v="2"/>
    <n v="2985.63"/>
    <n v="3452.14"/>
    <s v="New"/>
    <n v="0.17"/>
    <x v="2"/>
    <x v="1"/>
    <s v="West-Charlie"/>
  </r>
  <r>
    <n v="1099"/>
    <x v="240"/>
    <s v="Bob"/>
    <s v="East"/>
    <x v="413"/>
    <x v="33"/>
    <x v="0"/>
    <n v="2471.67"/>
    <n v="2533.04"/>
    <s v="Returning"/>
    <n v="0.02"/>
    <x v="1"/>
    <x v="1"/>
    <s v="East-Bob"/>
  </r>
  <r>
    <n v="1050"/>
    <x v="5"/>
    <s v="Charlie"/>
    <s v="West"/>
    <x v="414"/>
    <x v="10"/>
    <x v="0"/>
    <n v="710.06"/>
    <n v="851.349999999999"/>
    <s v="Returning"/>
    <n v="0.04"/>
    <x v="1"/>
    <x v="0"/>
    <s v="West-Charlie"/>
  </r>
  <r>
    <n v="1025"/>
    <x v="64"/>
    <s v="Bob"/>
    <s v="South"/>
    <x v="415"/>
    <x v="23"/>
    <x v="1"/>
    <n v="1250.5899999999999"/>
    <n v="1515.48999999999"/>
    <s v="Returning"/>
    <n v="0.21"/>
    <x v="1"/>
    <x v="1"/>
    <s v="South-Bob"/>
  </r>
  <r>
    <n v="1024"/>
    <x v="241"/>
    <s v="David"/>
    <s v="East"/>
    <x v="416"/>
    <x v="4"/>
    <x v="2"/>
    <n v="1493.88"/>
    <n v="1781.09"/>
    <s v="New"/>
    <n v="0.04"/>
    <x v="0"/>
    <x v="1"/>
    <s v="East-David"/>
  </r>
  <r>
    <n v="1013"/>
    <x v="0"/>
    <s v="Bob"/>
    <s v="North"/>
    <x v="417"/>
    <x v="31"/>
    <x v="2"/>
    <n v="4625.33"/>
    <n v="4642.83"/>
    <s v="New"/>
    <n v="0.19"/>
    <x v="2"/>
    <x v="0"/>
    <s v="North-Bob"/>
  </r>
  <r>
    <n v="1060"/>
    <x v="172"/>
    <s v="Bob"/>
    <s v="South"/>
    <x v="418"/>
    <x v="45"/>
    <x v="3"/>
    <n v="1190.4100000000001"/>
    <n v="1582.89"/>
    <s v="New"/>
    <n v="0.02"/>
    <x v="2"/>
    <x v="1"/>
    <s v="South-Bob"/>
  </r>
  <r>
    <n v="1007"/>
    <x v="98"/>
    <s v="Alice"/>
    <s v="North"/>
    <x v="419"/>
    <x v="14"/>
    <x v="2"/>
    <n v="1481.76"/>
    <n v="1668.95"/>
    <s v="Returning"/>
    <n v="0.12"/>
    <x v="2"/>
    <x v="1"/>
    <s v="North-Alice"/>
  </r>
  <r>
    <n v="1057"/>
    <x v="115"/>
    <s v="Bob"/>
    <s v="South"/>
    <x v="420"/>
    <x v="26"/>
    <x v="3"/>
    <n v="1878.3"/>
    <n v="2087.4499999999998"/>
    <s v="New"/>
    <n v="0.05"/>
    <x v="1"/>
    <x v="1"/>
    <s v="South-Bob"/>
  </r>
  <r>
    <n v="1036"/>
    <x v="85"/>
    <s v="Alice"/>
    <s v="East"/>
    <x v="421"/>
    <x v="18"/>
    <x v="1"/>
    <n v="3335.53"/>
    <n v="3742.12"/>
    <s v="New"/>
    <n v="0.03"/>
    <x v="1"/>
    <x v="1"/>
    <s v="East-Alice"/>
  </r>
  <r>
    <n v="1045"/>
    <x v="202"/>
    <s v="Eve"/>
    <s v="West"/>
    <x v="422"/>
    <x v="28"/>
    <x v="2"/>
    <n v="635.28"/>
    <n v="831.13"/>
    <s v="Returning"/>
    <n v="0.17"/>
    <x v="1"/>
    <x v="1"/>
    <s v="West-Eve"/>
  </r>
  <r>
    <n v="1020"/>
    <x v="167"/>
    <s v="Alice"/>
    <s v="South"/>
    <x v="423"/>
    <x v="19"/>
    <x v="0"/>
    <n v="4772.03"/>
    <n v="4805.17"/>
    <s v="Returning"/>
    <n v="0.28000000000000003"/>
    <x v="1"/>
    <x v="0"/>
    <s v="South-Alice"/>
  </r>
  <r>
    <n v="1065"/>
    <x v="242"/>
    <s v="David"/>
    <s v="West"/>
    <x v="424"/>
    <x v="0"/>
    <x v="1"/>
    <n v="4334.58"/>
    <n v="4431.04"/>
    <s v="New"/>
    <n v="0.02"/>
    <x v="1"/>
    <x v="1"/>
    <s v="West-David"/>
  </r>
  <r>
    <n v="1008"/>
    <x v="182"/>
    <s v="Alice"/>
    <s v="South"/>
    <x v="425"/>
    <x v="37"/>
    <x v="3"/>
    <n v="2907.22"/>
    <n v="3385.6099999999901"/>
    <s v="New"/>
    <n v="0.13"/>
    <x v="0"/>
    <x v="0"/>
    <s v="South-Alice"/>
  </r>
  <r>
    <n v="1016"/>
    <x v="243"/>
    <s v="Eve"/>
    <s v="North"/>
    <x v="426"/>
    <x v="36"/>
    <x v="1"/>
    <n v="3386.49"/>
    <n v="3430.99"/>
    <s v="New"/>
    <n v="0.21"/>
    <x v="1"/>
    <x v="1"/>
    <s v="North-Eve"/>
  </r>
  <r>
    <n v="1014"/>
    <x v="163"/>
    <s v="David"/>
    <s v="North"/>
    <x v="427"/>
    <x v="14"/>
    <x v="3"/>
    <n v="132.47"/>
    <n v="316.39"/>
    <s v="New"/>
    <n v="0.14000000000000001"/>
    <x v="2"/>
    <x v="0"/>
    <s v="North-David"/>
  </r>
  <r>
    <n v="1076"/>
    <x v="155"/>
    <s v="Charlie"/>
    <s v="South"/>
    <x v="428"/>
    <x v="18"/>
    <x v="1"/>
    <n v="1727.78"/>
    <n v="1984.34"/>
    <s v="Returning"/>
    <n v="0.24"/>
    <x v="1"/>
    <x v="0"/>
    <s v="South-Charlie"/>
  </r>
  <r>
    <n v="1087"/>
    <x v="39"/>
    <s v="Charlie"/>
    <s v="West"/>
    <x v="429"/>
    <x v="15"/>
    <x v="3"/>
    <n v="3988.52"/>
    <n v="4240.2299999999996"/>
    <s v="New"/>
    <n v="0.05"/>
    <x v="2"/>
    <x v="0"/>
    <s v="West-Charlie"/>
  </r>
  <r>
    <n v="1015"/>
    <x v="244"/>
    <s v="Alice"/>
    <s v="East"/>
    <x v="430"/>
    <x v="12"/>
    <x v="2"/>
    <n v="433.54"/>
    <n v="445.48"/>
    <s v="New"/>
    <n v="0.28999999999999998"/>
    <x v="1"/>
    <x v="1"/>
    <s v="East-Alice"/>
  </r>
  <r>
    <n v="1092"/>
    <x v="74"/>
    <s v="Alice"/>
    <s v="East"/>
    <x v="431"/>
    <x v="20"/>
    <x v="0"/>
    <n v="1447.45"/>
    <n v="1703.02"/>
    <s v="Returning"/>
    <n v="0.12"/>
    <x v="1"/>
    <x v="1"/>
    <s v="East-Alice"/>
  </r>
  <r>
    <n v="1098"/>
    <x v="238"/>
    <s v="Eve"/>
    <s v="North"/>
    <x v="432"/>
    <x v="47"/>
    <x v="3"/>
    <n v="2947.22"/>
    <n v="3145.27"/>
    <s v="New"/>
    <n v="0.1"/>
    <x v="2"/>
    <x v="1"/>
    <s v="North-Eve"/>
  </r>
  <r>
    <n v="1066"/>
    <x v="245"/>
    <s v="Eve"/>
    <s v="East"/>
    <x v="433"/>
    <x v="20"/>
    <x v="1"/>
    <n v="1319.24"/>
    <n v="1805.56"/>
    <s v="New"/>
    <n v="0.26"/>
    <x v="2"/>
    <x v="1"/>
    <s v="East-Eve"/>
  </r>
  <r>
    <n v="1032"/>
    <x v="104"/>
    <s v="Bob"/>
    <s v="North"/>
    <x v="434"/>
    <x v="18"/>
    <x v="3"/>
    <n v="4673.1899999999996"/>
    <n v="4761.1799999999903"/>
    <s v="Returning"/>
    <n v="0.17"/>
    <x v="2"/>
    <x v="1"/>
    <s v="North-Bob"/>
  </r>
  <r>
    <n v="1087"/>
    <x v="117"/>
    <s v="Eve"/>
    <s v="East"/>
    <x v="435"/>
    <x v="2"/>
    <x v="3"/>
    <n v="698.74"/>
    <n v="882.28"/>
    <s v="Returning"/>
    <n v="0.15"/>
    <x v="2"/>
    <x v="0"/>
    <s v="East-Eve"/>
  </r>
  <r>
    <n v="1063"/>
    <x v="46"/>
    <s v="Bob"/>
    <s v="South"/>
    <x v="436"/>
    <x v="44"/>
    <x v="3"/>
    <n v="3997.1"/>
    <n v="4212.6499999999996"/>
    <s v="New"/>
    <n v="0.22"/>
    <x v="0"/>
    <x v="0"/>
    <s v="South-Bob"/>
  </r>
  <r>
    <n v="1086"/>
    <x v="246"/>
    <s v="David"/>
    <s v="North"/>
    <x v="437"/>
    <x v="40"/>
    <x v="1"/>
    <n v="2564.35"/>
    <n v="2765.79"/>
    <s v="Returning"/>
    <n v="0.17"/>
    <x v="2"/>
    <x v="0"/>
    <s v="North-David"/>
  </r>
  <r>
    <n v="1051"/>
    <x v="247"/>
    <s v="Alice"/>
    <s v="North"/>
    <x v="438"/>
    <x v="24"/>
    <x v="0"/>
    <n v="3764.14"/>
    <n v="4100.3999999999996"/>
    <s v="Returning"/>
    <n v="0.05"/>
    <x v="1"/>
    <x v="1"/>
    <s v="North-Alice"/>
  </r>
  <r>
    <n v="1025"/>
    <x v="248"/>
    <s v="David"/>
    <s v="South"/>
    <x v="439"/>
    <x v="27"/>
    <x v="2"/>
    <n v="1588.04"/>
    <n v="1703.6399999999901"/>
    <s v="New"/>
    <n v="0.2"/>
    <x v="1"/>
    <x v="1"/>
    <s v="South-David"/>
  </r>
  <r>
    <n v="1058"/>
    <x v="249"/>
    <s v="Eve"/>
    <s v="North"/>
    <x v="440"/>
    <x v="10"/>
    <x v="0"/>
    <n v="2596.7199999999998"/>
    <n v="2715.0499999999902"/>
    <s v="Returning"/>
    <n v="0.04"/>
    <x v="0"/>
    <x v="0"/>
    <s v="North-Eve"/>
  </r>
  <r>
    <n v="1063"/>
    <x v="75"/>
    <s v="David"/>
    <s v="East"/>
    <x v="441"/>
    <x v="20"/>
    <x v="3"/>
    <n v="4291.33"/>
    <n v="4658.6400000000003"/>
    <s v="New"/>
    <n v="0.24"/>
    <x v="2"/>
    <x v="1"/>
    <s v="East-David"/>
  </r>
  <r>
    <n v="1062"/>
    <x v="250"/>
    <s v="David"/>
    <s v="East"/>
    <x v="442"/>
    <x v="44"/>
    <x v="1"/>
    <n v="2361.0500000000002"/>
    <n v="2616.19"/>
    <s v="New"/>
    <n v="0.3"/>
    <x v="1"/>
    <x v="1"/>
    <s v="East-David"/>
  </r>
  <r>
    <n v="1022"/>
    <x v="147"/>
    <s v="David"/>
    <s v="North"/>
    <x v="443"/>
    <x v="15"/>
    <x v="0"/>
    <n v="1830.61"/>
    <n v="2044.04"/>
    <s v="New"/>
    <n v="0.11"/>
    <x v="0"/>
    <x v="0"/>
    <s v="North-David"/>
  </r>
  <r>
    <n v="1058"/>
    <x v="251"/>
    <s v="Eve"/>
    <s v="East"/>
    <x v="444"/>
    <x v="28"/>
    <x v="3"/>
    <n v="2703.97"/>
    <n v="2796.8799999999901"/>
    <s v="New"/>
    <n v="0.13"/>
    <x v="1"/>
    <x v="0"/>
    <s v="East-Eve"/>
  </r>
  <r>
    <n v="1058"/>
    <x v="252"/>
    <s v="David"/>
    <s v="West"/>
    <x v="445"/>
    <x v="31"/>
    <x v="2"/>
    <n v="3600.95"/>
    <n v="3702.8399999999901"/>
    <s v="Returning"/>
    <n v="0.01"/>
    <x v="0"/>
    <x v="1"/>
    <s v="West-David"/>
  </r>
  <r>
    <n v="1086"/>
    <x v="253"/>
    <s v="Bob"/>
    <s v="North"/>
    <x v="446"/>
    <x v="7"/>
    <x v="2"/>
    <n v="2245.64"/>
    <n v="2260.81"/>
    <s v="New"/>
    <n v="0"/>
    <x v="0"/>
    <x v="1"/>
    <s v="North-Bob"/>
  </r>
  <r>
    <n v="1049"/>
    <x v="138"/>
    <s v="Eve"/>
    <s v="South"/>
    <x v="447"/>
    <x v="2"/>
    <x v="2"/>
    <n v="4697.4399999999996"/>
    <n v="4752.24"/>
    <s v="New"/>
    <n v="0.28000000000000003"/>
    <x v="2"/>
    <x v="0"/>
    <s v="South-Eve"/>
  </r>
  <r>
    <n v="1052"/>
    <x v="9"/>
    <s v="David"/>
    <s v="West"/>
    <x v="448"/>
    <x v="36"/>
    <x v="3"/>
    <n v="1509.98"/>
    <n v="1792.83"/>
    <s v="New"/>
    <n v="0.04"/>
    <x v="0"/>
    <x v="1"/>
    <s v="West-David"/>
  </r>
  <r>
    <n v="1042"/>
    <x v="157"/>
    <s v="Eve"/>
    <s v="North"/>
    <x v="449"/>
    <x v="44"/>
    <x v="1"/>
    <n v="2403.54"/>
    <n v="2850.56"/>
    <s v="New"/>
    <n v="0.13"/>
    <x v="1"/>
    <x v="0"/>
    <s v="North-Eve"/>
  </r>
  <r>
    <n v="1070"/>
    <x v="165"/>
    <s v="Charlie"/>
    <s v="South"/>
    <x v="450"/>
    <x v="28"/>
    <x v="0"/>
    <n v="3796.79"/>
    <n v="3947.5"/>
    <s v="Returning"/>
    <n v="0.24"/>
    <x v="1"/>
    <x v="0"/>
    <s v="South-Charlie"/>
  </r>
  <r>
    <n v="1015"/>
    <x v="91"/>
    <s v="Bob"/>
    <s v="East"/>
    <x v="451"/>
    <x v="22"/>
    <x v="2"/>
    <n v="3461.15"/>
    <n v="3631.75"/>
    <s v="Returning"/>
    <n v="0.27"/>
    <x v="2"/>
    <x v="0"/>
    <s v="East-Bob"/>
  </r>
  <r>
    <n v="1054"/>
    <x v="87"/>
    <s v="David"/>
    <s v="South"/>
    <x v="452"/>
    <x v="10"/>
    <x v="3"/>
    <n v="4325.0200000000004"/>
    <n v="4391.67"/>
    <s v="Returning"/>
    <n v="0.16"/>
    <x v="2"/>
    <x v="1"/>
    <s v="South-David"/>
  </r>
  <r>
    <n v="1060"/>
    <x v="142"/>
    <s v="Charlie"/>
    <s v="West"/>
    <x v="453"/>
    <x v="24"/>
    <x v="3"/>
    <n v="4984.21"/>
    <n v="5184.6400000000003"/>
    <s v="New"/>
    <n v="0.17"/>
    <x v="0"/>
    <x v="0"/>
    <s v="West-Charlie"/>
  </r>
  <r>
    <n v="1097"/>
    <x v="254"/>
    <s v="Charlie"/>
    <s v="East"/>
    <x v="454"/>
    <x v="15"/>
    <x v="0"/>
    <n v="2162.9499999999998"/>
    <n v="2191.1899999999901"/>
    <s v="Returning"/>
    <n v="0.2"/>
    <x v="2"/>
    <x v="0"/>
    <s v="East-Charlie"/>
  </r>
  <r>
    <n v="1008"/>
    <x v="55"/>
    <s v="Eve"/>
    <s v="North"/>
    <x v="455"/>
    <x v="22"/>
    <x v="2"/>
    <n v="600.20000000000005"/>
    <n v="1059.82"/>
    <s v="Returning"/>
    <n v="0.28999999999999998"/>
    <x v="1"/>
    <x v="1"/>
    <s v="North-Eve"/>
  </r>
  <r>
    <n v="1053"/>
    <x v="255"/>
    <s v="Charlie"/>
    <s v="East"/>
    <x v="456"/>
    <x v="23"/>
    <x v="3"/>
    <n v="200.56"/>
    <n v="540.38"/>
    <s v="New"/>
    <n v="0.18"/>
    <x v="1"/>
    <x v="0"/>
    <s v="East-Charlie"/>
  </r>
  <r>
    <n v="1060"/>
    <x v="105"/>
    <s v="Bob"/>
    <s v="North"/>
    <x v="457"/>
    <x v="23"/>
    <x v="0"/>
    <n v="3648.04"/>
    <n v="4143.51"/>
    <s v="Returning"/>
    <n v="0.17"/>
    <x v="2"/>
    <x v="1"/>
    <s v="North-Bob"/>
  </r>
  <r>
    <n v="1005"/>
    <x v="256"/>
    <s v="Bob"/>
    <s v="North"/>
    <x v="458"/>
    <x v="9"/>
    <x v="1"/>
    <n v="4376.37"/>
    <n v="4818.95"/>
    <s v="New"/>
    <n v="0"/>
    <x v="2"/>
    <x v="1"/>
    <s v="North-Bob"/>
  </r>
  <r>
    <n v="1068"/>
    <x v="257"/>
    <s v="Alice"/>
    <s v="South"/>
    <x v="459"/>
    <x v="9"/>
    <x v="1"/>
    <n v="1142.53"/>
    <n v="1384.3"/>
    <s v="Returning"/>
    <n v="0.02"/>
    <x v="2"/>
    <x v="1"/>
    <s v="South-Alice"/>
  </r>
  <r>
    <n v="1006"/>
    <x v="250"/>
    <s v="Bob"/>
    <s v="South"/>
    <x v="460"/>
    <x v="33"/>
    <x v="1"/>
    <n v="834.32"/>
    <n v="1098.97"/>
    <s v="Returning"/>
    <n v="0.17"/>
    <x v="0"/>
    <x v="0"/>
    <s v="South-Bob"/>
  </r>
  <r>
    <n v="1096"/>
    <x v="238"/>
    <s v="Charlie"/>
    <s v="South"/>
    <x v="461"/>
    <x v="27"/>
    <x v="2"/>
    <n v="357.92"/>
    <n v="461.3"/>
    <s v="Returning"/>
    <n v="0.28000000000000003"/>
    <x v="0"/>
    <x v="0"/>
    <s v="South-Charlie"/>
  </r>
  <r>
    <n v="1094"/>
    <x v="164"/>
    <s v="Bob"/>
    <s v="West"/>
    <x v="462"/>
    <x v="48"/>
    <x v="0"/>
    <n v="4122.38"/>
    <n v="4358.78"/>
    <s v="Returning"/>
    <n v="0.26"/>
    <x v="1"/>
    <x v="1"/>
    <s v="West-Bob"/>
  </r>
  <r>
    <n v="1047"/>
    <x v="1"/>
    <s v="Eve"/>
    <s v="West"/>
    <x v="463"/>
    <x v="1"/>
    <x v="0"/>
    <n v="1591.34"/>
    <n v="2043.82"/>
    <s v="New"/>
    <n v="0.28999999999999998"/>
    <x v="0"/>
    <x v="1"/>
    <s v="West-Eve"/>
  </r>
  <r>
    <n v="1099"/>
    <x v="26"/>
    <s v="Alice"/>
    <s v="South"/>
    <x v="464"/>
    <x v="39"/>
    <x v="3"/>
    <n v="2038.4"/>
    <n v="2073.3200000000002"/>
    <s v="New"/>
    <n v="0.16"/>
    <x v="0"/>
    <x v="1"/>
    <s v="South-Alice"/>
  </r>
  <r>
    <n v="1055"/>
    <x v="234"/>
    <s v="Charlie"/>
    <s v="West"/>
    <x v="465"/>
    <x v="26"/>
    <x v="3"/>
    <n v="2538.61"/>
    <n v="2971.75"/>
    <s v="Returning"/>
    <n v="0.24"/>
    <x v="0"/>
    <x v="0"/>
    <s v="West-Charlie"/>
  </r>
  <r>
    <n v="1040"/>
    <x v="83"/>
    <s v="Alice"/>
    <s v="East"/>
    <x v="466"/>
    <x v="31"/>
    <x v="3"/>
    <n v="4205.29"/>
    <n v="4382.3500000000004"/>
    <s v="New"/>
    <n v="0.25"/>
    <x v="0"/>
    <x v="1"/>
    <s v="East-Alice"/>
  </r>
  <r>
    <n v="1052"/>
    <x v="258"/>
    <s v="Charlie"/>
    <s v="East"/>
    <x v="467"/>
    <x v="0"/>
    <x v="0"/>
    <n v="3271.62"/>
    <n v="3722.38"/>
    <s v="Returning"/>
    <n v="0.19"/>
    <x v="1"/>
    <x v="1"/>
    <s v="East-Charlie"/>
  </r>
  <r>
    <n v="1016"/>
    <x v="15"/>
    <s v="Eve"/>
    <s v="West"/>
    <x v="468"/>
    <x v="23"/>
    <x v="3"/>
    <n v="3094.57"/>
    <n v="3565.6"/>
    <s v="Returning"/>
    <n v="0.1"/>
    <x v="2"/>
    <x v="1"/>
    <s v="West-Eve"/>
  </r>
  <r>
    <n v="1013"/>
    <x v="259"/>
    <s v="Alice"/>
    <s v="West"/>
    <x v="469"/>
    <x v="25"/>
    <x v="0"/>
    <n v="919.58"/>
    <n v="1258.3"/>
    <s v="Returning"/>
    <n v="0.14000000000000001"/>
    <x v="1"/>
    <x v="0"/>
    <s v="West-Alice"/>
  </r>
  <r>
    <n v="1030"/>
    <x v="33"/>
    <s v="David"/>
    <s v="East"/>
    <x v="470"/>
    <x v="37"/>
    <x v="0"/>
    <n v="2590.29"/>
    <n v="2925.86"/>
    <s v="Returning"/>
    <n v="0.26"/>
    <x v="0"/>
    <x v="1"/>
    <s v="East-David"/>
  </r>
  <r>
    <n v="1019"/>
    <x v="208"/>
    <s v="Charlie"/>
    <s v="North"/>
    <x v="471"/>
    <x v="0"/>
    <x v="1"/>
    <n v="3591.14"/>
    <n v="3822.99"/>
    <s v="Returning"/>
    <n v="0.09"/>
    <x v="2"/>
    <x v="0"/>
    <s v="North-Charlie"/>
  </r>
  <r>
    <n v="1017"/>
    <x v="141"/>
    <s v="David"/>
    <s v="East"/>
    <x v="472"/>
    <x v="22"/>
    <x v="3"/>
    <n v="4867.6400000000003"/>
    <n v="5287.05"/>
    <s v="Returning"/>
    <n v="0.28000000000000003"/>
    <x v="2"/>
    <x v="0"/>
    <s v="East-David"/>
  </r>
  <r>
    <n v="1063"/>
    <x v="257"/>
    <s v="Alice"/>
    <s v="East"/>
    <x v="473"/>
    <x v="42"/>
    <x v="1"/>
    <n v="1046.96"/>
    <n v="1528.15"/>
    <s v="New"/>
    <n v="7.0000000000000007E-2"/>
    <x v="2"/>
    <x v="1"/>
    <s v="East-Alice"/>
  </r>
  <r>
    <n v="1019"/>
    <x v="169"/>
    <s v="David"/>
    <s v="West"/>
    <x v="474"/>
    <x v="25"/>
    <x v="2"/>
    <n v="97.24"/>
    <n v="487.03"/>
    <s v="New"/>
    <n v="0.22"/>
    <x v="1"/>
    <x v="1"/>
    <s v="West-David"/>
  </r>
  <r>
    <n v="1092"/>
    <x v="181"/>
    <s v="David"/>
    <s v="East"/>
    <x v="475"/>
    <x v="32"/>
    <x v="2"/>
    <n v="422.74"/>
    <n v="737.49"/>
    <s v="Returning"/>
    <n v="0.19"/>
    <x v="2"/>
    <x v="1"/>
    <s v="East-David"/>
  </r>
  <r>
    <n v="1058"/>
    <x v="13"/>
    <s v="Alice"/>
    <s v="West"/>
    <x v="476"/>
    <x v="16"/>
    <x v="2"/>
    <n v="1910.47"/>
    <n v="2217.8000000000002"/>
    <s v="New"/>
    <n v="0.22"/>
    <x v="1"/>
    <x v="0"/>
    <s v="West-Alice"/>
  </r>
  <r>
    <n v="1055"/>
    <x v="233"/>
    <s v="Eve"/>
    <s v="West"/>
    <x v="477"/>
    <x v="8"/>
    <x v="0"/>
    <n v="4111.7"/>
    <n v="4537.9399999999996"/>
    <s v="Returning"/>
    <n v="0.13"/>
    <x v="1"/>
    <x v="0"/>
    <s v="West-Eve"/>
  </r>
  <r>
    <n v="1090"/>
    <x v="168"/>
    <s v="David"/>
    <s v="South"/>
    <x v="478"/>
    <x v="20"/>
    <x v="0"/>
    <n v="85.35"/>
    <n v="360.539999999999"/>
    <s v="New"/>
    <n v="0.28000000000000003"/>
    <x v="0"/>
    <x v="0"/>
    <s v="South-David"/>
  </r>
  <r>
    <n v="1090"/>
    <x v="260"/>
    <s v="David"/>
    <s v="East"/>
    <x v="479"/>
    <x v="20"/>
    <x v="0"/>
    <n v="2310.8200000000002"/>
    <n v="2714.71"/>
    <s v="New"/>
    <n v="0.19"/>
    <x v="0"/>
    <x v="1"/>
    <s v="East-David"/>
  </r>
  <r>
    <n v="1062"/>
    <x v="233"/>
    <s v="Eve"/>
    <s v="North"/>
    <x v="480"/>
    <x v="10"/>
    <x v="3"/>
    <n v="1679.69"/>
    <n v="1939.04"/>
    <s v="New"/>
    <n v="0.09"/>
    <x v="2"/>
    <x v="0"/>
    <s v="North-Eve"/>
  </r>
  <r>
    <n v="1023"/>
    <x v="87"/>
    <s v="David"/>
    <s v="South"/>
    <x v="481"/>
    <x v="31"/>
    <x v="1"/>
    <n v="309.77999999999997"/>
    <n v="350.38"/>
    <s v="Returning"/>
    <n v="0.19"/>
    <x v="2"/>
    <x v="1"/>
    <s v="South-David"/>
  </r>
  <r>
    <n v="1009"/>
    <x v="172"/>
    <s v="David"/>
    <s v="West"/>
    <x v="482"/>
    <x v="26"/>
    <x v="0"/>
    <n v="2278.67"/>
    <n v="2476.8000000000002"/>
    <s v="New"/>
    <n v="0.09"/>
    <x v="0"/>
    <x v="1"/>
    <s v="West-David"/>
  </r>
  <r>
    <n v="1012"/>
    <x v="261"/>
    <s v="David"/>
    <s v="West"/>
    <x v="483"/>
    <x v="4"/>
    <x v="1"/>
    <n v="1311.01"/>
    <n v="1538.79"/>
    <s v="Returning"/>
    <n v="0.09"/>
    <x v="1"/>
    <x v="1"/>
    <s v="West-David"/>
  </r>
  <r>
    <n v="1001"/>
    <x v="262"/>
    <s v="Bob"/>
    <s v="North"/>
    <x v="484"/>
    <x v="41"/>
    <x v="1"/>
    <n v="1791.83"/>
    <n v="1871.22"/>
    <s v="Returning"/>
    <n v="0.12"/>
    <x v="1"/>
    <x v="0"/>
    <s v="North-Bob"/>
  </r>
  <r>
    <n v="1058"/>
    <x v="263"/>
    <s v="Eve"/>
    <s v="West"/>
    <x v="485"/>
    <x v="3"/>
    <x v="1"/>
    <n v="3542.8"/>
    <n v="3603.02"/>
    <s v="Returning"/>
    <n v="0.26"/>
    <x v="0"/>
    <x v="0"/>
    <s v="West-Eve"/>
  </r>
  <r>
    <n v="1001"/>
    <x v="106"/>
    <s v="David"/>
    <s v="East"/>
    <x v="486"/>
    <x v="39"/>
    <x v="3"/>
    <n v="2631.68"/>
    <n v="2904.06"/>
    <s v="New"/>
    <n v="0.15"/>
    <x v="1"/>
    <x v="0"/>
    <s v="East-David"/>
  </r>
  <r>
    <n v="1034"/>
    <x v="5"/>
    <s v="Eve"/>
    <s v="South"/>
    <x v="487"/>
    <x v="42"/>
    <x v="3"/>
    <n v="667"/>
    <n v="718.72"/>
    <s v="New"/>
    <n v="0.2"/>
    <x v="0"/>
    <x v="1"/>
    <s v="South-Eve"/>
  </r>
  <r>
    <n v="1096"/>
    <x v="170"/>
    <s v="Charlie"/>
    <s v="West"/>
    <x v="488"/>
    <x v="30"/>
    <x v="2"/>
    <n v="4809"/>
    <n v="4967.4399999999996"/>
    <s v="New"/>
    <n v="0.12"/>
    <x v="0"/>
    <x v="0"/>
    <s v="West-Charlie"/>
  </r>
  <r>
    <n v="1048"/>
    <x v="118"/>
    <s v="Charlie"/>
    <s v="West"/>
    <x v="489"/>
    <x v="30"/>
    <x v="2"/>
    <n v="3197.76"/>
    <n v="3572.61"/>
    <s v="Returning"/>
    <n v="0.08"/>
    <x v="2"/>
    <x v="0"/>
    <s v="West-Charlie"/>
  </r>
  <r>
    <n v="1089"/>
    <x v="96"/>
    <s v="David"/>
    <s v="North"/>
    <x v="490"/>
    <x v="13"/>
    <x v="1"/>
    <n v="3841.05"/>
    <n v="4323.62"/>
    <s v="Returning"/>
    <n v="0.28999999999999998"/>
    <x v="2"/>
    <x v="1"/>
    <s v="North-David"/>
  </r>
  <r>
    <n v="1001"/>
    <x v="198"/>
    <s v="Eve"/>
    <s v="East"/>
    <x v="491"/>
    <x v="29"/>
    <x v="2"/>
    <n v="442.11"/>
    <n v="803.87"/>
    <s v="New"/>
    <n v="0.18"/>
    <x v="0"/>
    <x v="1"/>
    <s v="East-Eve"/>
  </r>
  <r>
    <n v="1016"/>
    <x v="14"/>
    <s v="Eve"/>
    <s v="West"/>
    <x v="492"/>
    <x v="48"/>
    <x v="1"/>
    <n v="282.94"/>
    <n v="779.32999999999902"/>
    <s v="Returning"/>
    <n v="0.28000000000000003"/>
    <x v="2"/>
    <x v="0"/>
    <s v="West-Eve"/>
  </r>
  <r>
    <n v="1061"/>
    <x v="264"/>
    <s v="Eve"/>
    <s v="North"/>
    <x v="493"/>
    <x v="20"/>
    <x v="3"/>
    <n v="146.27000000000001"/>
    <n v="498.46"/>
    <s v="New"/>
    <n v="0.06"/>
    <x v="0"/>
    <x v="1"/>
    <s v="North-Eve"/>
  </r>
  <r>
    <n v="1064"/>
    <x v="72"/>
    <s v="Bob"/>
    <s v="West"/>
    <x v="494"/>
    <x v="7"/>
    <x v="3"/>
    <n v="984.53"/>
    <n v="1138.49"/>
    <s v="New"/>
    <n v="0.04"/>
    <x v="1"/>
    <x v="0"/>
    <s v="West-Bob"/>
  </r>
  <r>
    <n v="1063"/>
    <x v="265"/>
    <s v="Charlie"/>
    <s v="North"/>
    <x v="495"/>
    <x v="11"/>
    <x v="3"/>
    <n v="2101.3200000000002"/>
    <n v="2440.63"/>
    <s v="New"/>
    <n v="0.26"/>
    <x v="1"/>
    <x v="1"/>
    <s v="North-Charlie"/>
  </r>
  <r>
    <n v="1069"/>
    <x v="266"/>
    <s v="Eve"/>
    <s v="North"/>
    <x v="496"/>
    <x v="26"/>
    <x v="0"/>
    <n v="4682.34"/>
    <n v="5036.3999999999996"/>
    <s v="New"/>
    <n v="0.2"/>
    <x v="1"/>
    <x v="1"/>
    <s v="North-Eve"/>
  </r>
  <r>
    <n v="1022"/>
    <x v="267"/>
    <s v="Eve"/>
    <s v="East"/>
    <x v="497"/>
    <x v="4"/>
    <x v="1"/>
    <n v="2312.4499999999998"/>
    <n v="2504.6"/>
    <s v="Returning"/>
    <n v="0.06"/>
    <x v="1"/>
    <x v="0"/>
    <s v="East-Eve"/>
  </r>
  <r>
    <n v="1093"/>
    <x v="51"/>
    <s v="Bob"/>
    <s v="West"/>
    <x v="498"/>
    <x v="8"/>
    <x v="3"/>
    <n v="1486.76"/>
    <n v="1505.44"/>
    <s v="New"/>
    <n v="0.08"/>
    <x v="0"/>
    <x v="1"/>
    <s v="West-Bob"/>
  </r>
  <r>
    <n v="1067"/>
    <x v="6"/>
    <s v="Bob"/>
    <s v="East"/>
    <x v="499"/>
    <x v="1"/>
    <x v="1"/>
    <n v="2831.58"/>
    <n v="3186.15"/>
    <s v="New"/>
    <n v="0.24"/>
    <x v="1"/>
    <x v="1"/>
    <s v="East-Bob"/>
  </r>
  <r>
    <n v="1076"/>
    <x v="268"/>
    <s v="Eve"/>
    <s v="North"/>
    <x v="500"/>
    <x v="1"/>
    <x v="2"/>
    <n v="604.08000000000004"/>
    <n v="624.71"/>
    <s v="New"/>
    <n v="0.14000000000000001"/>
    <x v="1"/>
    <x v="1"/>
    <s v="North-Eve"/>
  </r>
  <r>
    <n v="1026"/>
    <x v="82"/>
    <s v="Alice"/>
    <s v="South"/>
    <x v="501"/>
    <x v="43"/>
    <x v="2"/>
    <n v="3067.05"/>
    <n v="3386.33"/>
    <s v="New"/>
    <n v="0.2"/>
    <x v="1"/>
    <x v="0"/>
    <s v="South-Alice"/>
  </r>
  <r>
    <n v="1016"/>
    <x v="172"/>
    <s v="Eve"/>
    <s v="West"/>
    <x v="502"/>
    <x v="9"/>
    <x v="3"/>
    <n v="2863.74"/>
    <n v="2953.91"/>
    <s v="New"/>
    <n v="0.1"/>
    <x v="1"/>
    <x v="1"/>
    <s v="West-Eve"/>
  </r>
  <r>
    <n v="1051"/>
    <x v="128"/>
    <s v="Eve"/>
    <s v="South"/>
    <x v="503"/>
    <x v="29"/>
    <x v="1"/>
    <n v="3970.37"/>
    <n v="4257.5199999999904"/>
    <s v="New"/>
    <n v="0.11"/>
    <x v="0"/>
    <x v="1"/>
    <s v="South-Eve"/>
  </r>
  <r>
    <n v="1086"/>
    <x v="269"/>
    <s v="Bob"/>
    <s v="West"/>
    <x v="504"/>
    <x v="47"/>
    <x v="3"/>
    <n v="4934.1000000000004"/>
    <n v="5191.0200000000004"/>
    <s v="New"/>
    <n v="0.3"/>
    <x v="1"/>
    <x v="0"/>
    <s v="West-Bob"/>
  </r>
  <r>
    <n v="1057"/>
    <x v="27"/>
    <s v="Bob"/>
    <s v="East"/>
    <x v="505"/>
    <x v="42"/>
    <x v="2"/>
    <n v="1291.82"/>
    <n v="1308.4399999999901"/>
    <s v="Returning"/>
    <n v="7.0000000000000007E-2"/>
    <x v="2"/>
    <x v="0"/>
    <s v="East-Bob"/>
  </r>
  <r>
    <n v="1029"/>
    <x v="131"/>
    <s v="Eve"/>
    <s v="East"/>
    <x v="506"/>
    <x v="25"/>
    <x v="3"/>
    <n v="2572.8000000000002"/>
    <n v="2760.6"/>
    <s v="Returning"/>
    <n v="0.15"/>
    <x v="2"/>
    <x v="1"/>
    <s v="East-Eve"/>
  </r>
  <r>
    <n v="1078"/>
    <x v="267"/>
    <s v="Eve"/>
    <s v="East"/>
    <x v="507"/>
    <x v="43"/>
    <x v="1"/>
    <n v="4548.88"/>
    <n v="4853.41"/>
    <s v="Returning"/>
    <n v="0.25"/>
    <x v="2"/>
    <x v="1"/>
    <s v="East-Eve"/>
  </r>
  <r>
    <n v="1092"/>
    <x v="24"/>
    <s v="Eve"/>
    <s v="East"/>
    <x v="508"/>
    <x v="40"/>
    <x v="2"/>
    <n v="3936.69"/>
    <n v="4362.51"/>
    <s v="Returning"/>
    <n v="7.0000000000000007E-2"/>
    <x v="2"/>
    <x v="1"/>
    <s v="East-Eve"/>
  </r>
  <r>
    <n v="1069"/>
    <x v="270"/>
    <s v="Bob"/>
    <s v="East"/>
    <x v="509"/>
    <x v="6"/>
    <x v="0"/>
    <n v="2462.66"/>
    <n v="2908.0899999999901"/>
    <s v="New"/>
    <n v="0.12"/>
    <x v="2"/>
    <x v="0"/>
    <s v="East-Bob"/>
  </r>
  <r>
    <n v="1047"/>
    <x v="133"/>
    <s v="Eve"/>
    <s v="South"/>
    <x v="510"/>
    <x v="20"/>
    <x v="2"/>
    <n v="4729.59"/>
    <n v="4976.68"/>
    <s v="Returning"/>
    <n v="0.18"/>
    <x v="2"/>
    <x v="1"/>
    <s v="South-Eve"/>
  </r>
  <r>
    <n v="1094"/>
    <x v="100"/>
    <s v="Eve"/>
    <s v="East"/>
    <x v="511"/>
    <x v="26"/>
    <x v="0"/>
    <n v="333.32"/>
    <n v="700.25"/>
    <s v="Returning"/>
    <n v="0.14000000000000001"/>
    <x v="0"/>
    <x v="0"/>
    <s v="East-Eve"/>
  </r>
  <r>
    <n v="1062"/>
    <x v="2"/>
    <s v="David"/>
    <s v="North"/>
    <x v="512"/>
    <x v="35"/>
    <x v="3"/>
    <n v="4658.4399999999996"/>
    <n v="4823.5"/>
    <s v="Returning"/>
    <n v="0.14000000000000001"/>
    <x v="2"/>
    <x v="0"/>
    <s v="North-David"/>
  </r>
  <r>
    <n v="1069"/>
    <x v="165"/>
    <s v="Alice"/>
    <s v="North"/>
    <x v="513"/>
    <x v="2"/>
    <x v="3"/>
    <n v="300.01"/>
    <n v="477.67999999999898"/>
    <s v="New"/>
    <n v="0.11"/>
    <x v="1"/>
    <x v="1"/>
    <s v="North-Alice"/>
  </r>
  <r>
    <n v="1076"/>
    <x v="228"/>
    <s v="Charlie"/>
    <s v="South"/>
    <x v="514"/>
    <x v="18"/>
    <x v="1"/>
    <n v="2759.16"/>
    <n v="2864.45"/>
    <s v="Returning"/>
    <n v="0.18"/>
    <x v="2"/>
    <x v="1"/>
    <s v="South-Charlie"/>
  </r>
  <r>
    <n v="1016"/>
    <x v="186"/>
    <s v="Alice"/>
    <s v="West"/>
    <x v="515"/>
    <x v="25"/>
    <x v="0"/>
    <n v="4457.68"/>
    <n v="4743.03"/>
    <s v="Returning"/>
    <n v="0.19"/>
    <x v="0"/>
    <x v="0"/>
    <s v="West-Alice"/>
  </r>
  <r>
    <n v="1090"/>
    <x v="18"/>
    <s v="David"/>
    <s v="North"/>
    <x v="516"/>
    <x v="28"/>
    <x v="3"/>
    <n v="1350.47"/>
    <n v="1514.61"/>
    <s v="New"/>
    <n v="0.2"/>
    <x v="2"/>
    <x v="1"/>
    <s v="North-David"/>
  </r>
  <r>
    <n v="1090"/>
    <x v="144"/>
    <s v="Charlie"/>
    <s v="West"/>
    <x v="517"/>
    <x v="15"/>
    <x v="0"/>
    <n v="2387.63"/>
    <n v="2438.9699999999998"/>
    <s v="Returning"/>
    <n v="0.02"/>
    <x v="1"/>
    <x v="1"/>
    <s v="West-Charlie"/>
  </r>
  <r>
    <n v="1048"/>
    <x v="170"/>
    <s v="Eve"/>
    <s v="South"/>
    <x v="518"/>
    <x v="48"/>
    <x v="3"/>
    <n v="1655.43"/>
    <n v="2001.08"/>
    <s v="New"/>
    <n v="0.19"/>
    <x v="1"/>
    <x v="0"/>
    <s v="South-Eve"/>
  </r>
  <r>
    <n v="1085"/>
    <x v="103"/>
    <s v="David"/>
    <s v="West"/>
    <x v="519"/>
    <x v="27"/>
    <x v="2"/>
    <n v="4763.1099999999997"/>
    <n v="5119.91"/>
    <s v="Returning"/>
    <n v="0.28999999999999998"/>
    <x v="0"/>
    <x v="1"/>
    <s v="West-David"/>
  </r>
  <r>
    <n v="1039"/>
    <x v="245"/>
    <s v="Eve"/>
    <s v="West"/>
    <x v="520"/>
    <x v="35"/>
    <x v="3"/>
    <n v="4127.05"/>
    <n v="4313.45"/>
    <s v="New"/>
    <n v="0.16"/>
    <x v="0"/>
    <x v="0"/>
    <s v="West-Eve"/>
  </r>
  <r>
    <n v="1100"/>
    <x v="114"/>
    <s v="Bob"/>
    <s v="West"/>
    <x v="521"/>
    <x v="6"/>
    <x v="1"/>
    <n v="3559.56"/>
    <n v="3607.15"/>
    <s v="Returning"/>
    <n v="0.21"/>
    <x v="0"/>
    <x v="1"/>
    <s v="West-Bob"/>
  </r>
  <r>
    <n v="1033"/>
    <x v="229"/>
    <s v="David"/>
    <s v="West"/>
    <x v="522"/>
    <x v="45"/>
    <x v="2"/>
    <n v="2958.75"/>
    <n v="3177.64"/>
    <s v="Returning"/>
    <n v="0.17"/>
    <x v="0"/>
    <x v="0"/>
    <s v="West-David"/>
  </r>
  <r>
    <n v="1094"/>
    <x v="13"/>
    <s v="Bob"/>
    <s v="South"/>
    <x v="523"/>
    <x v="13"/>
    <x v="1"/>
    <n v="4111.93"/>
    <n v="4338.67"/>
    <s v="Returning"/>
    <n v="0.26"/>
    <x v="2"/>
    <x v="0"/>
    <s v="South-Bob"/>
  </r>
  <r>
    <n v="1023"/>
    <x v="45"/>
    <s v="David"/>
    <s v="North"/>
    <x v="524"/>
    <x v="43"/>
    <x v="2"/>
    <n v="1991.72"/>
    <n v="2329.37"/>
    <s v="New"/>
    <n v="0.28000000000000003"/>
    <x v="2"/>
    <x v="1"/>
    <s v="North-David"/>
  </r>
  <r>
    <n v="1010"/>
    <x v="57"/>
    <s v="David"/>
    <s v="East"/>
    <x v="525"/>
    <x v="20"/>
    <x v="0"/>
    <n v="2265.38"/>
    <n v="2429.9299999999998"/>
    <s v="Returning"/>
    <n v="0.06"/>
    <x v="1"/>
    <x v="0"/>
    <s v="East-David"/>
  </r>
  <r>
    <n v="1069"/>
    <x v="108"/>
    <s v="Bob"/>
    <s v="West"/>
    <x v="526"/>
    <x v="7"/>
    <x v="1"/>
    <n v="3663.51"/>
    <n v="4007.98"/>
    <s v="New"/>
    <n v="0.13"/>
    <x v="0"/>
    <x v="0"/>
    <s v="West-Bob"/>
  </r>
  <r>
    <n v="1100"/>
    <x v="199"/>
    <s v="Charlie"/>
    <s v="North"/>
    <x v="527"/>
    <x v="12"/>
    <x v="3"/>
    <n v="1820.89"/>
    <n v="2257.92"/>
    <s v="New"/>
    <n v="0.12"/>
    <x v="0"/>
    <x v="1"/>
    <s v="North-Charlie"/>
  </r>
  <r>
    <n v="1034"/>
    <x v="271"/>
    <s v="Alice"/>
    <s v="North"/>
    <x v="528"/>
    <x v="4"/>
    <x v="0"/>
    <n v="366.31"/>
    <n v="492.68"/>
    <s v="New"/>
    <n v="0.12"/>
    <x v="2"/>
    <x v="1"/>
    <s v="North-Alice"/>
  </r>
  <r>
    <n v="1052"/>
    <x v="272"/>
    <s v="Eve"/>
    <s v="South"/>
    <x v="529"/>
    <x v="31"/>
    <x v="3"/>
    <n v="417.96"/>
    <n v="907.63"/>
    <s v="New"/>
    <n v="0.04"/>
    <x v="0"/>
    <x v="1"/>
    <s v="South-Eve"/>
  </r>
  <r>
    <n v="1095"/>
    <x v="9"/>
    <s v="David"/>
    <s v="North"/>
    <x v="530"/>
    <x v="9"/>
    <x v="2"/>
    <n v="621.04999999999995"/>
    <n v="820.36999999999898"/>
    <s v="Returning"/>
    <n v="0.24"/>
    <x v="1"/>
    <x v="0"/>
    <s v="North-David"/>
  </r>
  <r>
    <n v="1010"/>
    <x v="126"/>
    <s v="Eve"/>
    <s v="South"/>
    <x v="531"/>
    <x v="35"/>
    <x v="2"/>
    <n v="4354.92"/>
    <n v="4495.88"/>
    <s v="Returning"/>
    <n v="0.01"/>
    <x v="1"/>
    <x v="0"/>
    <s v="South-Eve"/>
  </r>
  <r>
    <n v="1019"/>
    <x v="259"/>
    <s v="Bob"/>
    <s v="West"/>
    <x v="532"/>
    <x v="30"/>
    <x v="3"/>
    <n v="2387.52"/>
    <n v="2604.06"/>
    <s v="Returning"/>
    <n v="0.16"/>
    <x v="0"/>
    <x v="0"/>
    <s v="West-Bob"/>
  </r>
  <r>
    <n v="1058"/>
    <x v="93"/>
    <s v="Eve"/>
    <s v="West"/>
    <x v="533"/>
    <x v="6"/>
    <x v="3"/>
    <n v="3578.77"/>
    <n v="3635.02"/>
    <s v="New"/>
    <n v="0.2"/>
    <x v="1"/>
    <x v="1"/>
    <s v="West-Eve"/>
  </r>
  <r>
    <n v="1096"/>
    <x v="38"/>
    <s v="Bob"/>
    <s v="East"/>
    <x v="534"/>
    <x v="46"/>
    <x v="0"/>
    <n v="1994.9"/>
    <n v="2066.5"/>
    <s v="Returning"/>
    <n v="0.06"/>
    <x v="1"/>
    <x v="0"/>
    <s v="East-Bob"/>
  </r>
  <r>
    <n v="1001"/>
    <x v="167"/>
    <s v="Eve"/>
    <s v="East"/>
    <x v="535"/>
    <x v="44"/>
    <x v="3"/>
    <n v="1330.62"/>
    <n v="1543.6899999999901"/>
    <s v="New"/>
    <n v="0.27"/>
    <x v="2"/>
    <x v="0"/>
    <s v="East-Eve"/>
  </r>
  <r>
    <n v="1069"/>
    <x v="212"/>
    <s v="Alice"/>
    <s v="East"/>
    <x v="536"/>
    <x v="32"/>
    <x v="1"/>
    <n v="1768.6"/>
    <n v="2152.1999999999998"/>
    <s v="New"/>
    <n v="0.25"/>
    <x v="1"/>
    <x v="1"/>
    <s v="East-Alice"/>
  </r>
  <r>
    <n v="1004"/>
    <x v="28"/>
    <s v="Alice"/>
    <s v="North"/>
    <x v="537"/>
    <x v="43"/>
    <x v="1"/>
    <n v="3981.2"/>
    <n v="4432.3499999999904"/>
    <s v="New"/>
    <n v="0.14000000000000001"/>
    <x v="0"/>
    <x v="0"/>
    <s v="North-Alice"/>
  </r>
  <r>
    <n v="1016"/>
    <x v="273"/>
    <s v="Alice"/>
    <s v="West"/>
    <x v="538"/>
    <x v="39"/>
    <x v="3"/>
    <n v="3144.82"/>
    <n v="3480.58"/>
    <s v="Returning"/>
    <n v="0.12"/>
    <x v="0"/>
    <x v="1"/>
    <s v="West-Alice"/>
  </r>
  <r>
    <n v="1024"/>
    <x v="90"/>
    <s v="Alice"/>
    <s v="South"/>
    <x v="539"/>
    <x v="33"/>
    <x v="1"/>
    <n v="4691.32"/>
    <n v="4752.88"/>
    <s v="Returning"/>
    <n v="7.0000000000000007E-2"/>
    <x v="1"/>
    <x v="1"/>
    <s v="South-Alice"/>
  </r>
  <r>
    <n v="1080"/>
    <x v="12"/>
    <s v="Alice"/>
    <s v="East"/>
    <x v="540"/>
    <x v="5"/>
    <x v="3"/>
    <n v="3414.54"/>
    <n v="3753.83"/>
    <s v="New"/>
    <n v="0.22"/>
    <x v="0"/>
    <x v="1"/>
    <s v="East-Alice"/>
  </r>
  <r>
    <n v="1002"/>
    <x v="186"/>
    <s v="Alice"/>
    <s v="South"/>
    <x v="541"/>
    <x v="25"/>
    <x v="0"/>
    <n v="2872.4"/>
    <n v="3193.76"/>
    <s v="Returning"/>
    <n v="0.04"/>
    <x v="2"/>
    <x v="0"/>
    <s v="South-Alice"/>
  </r>
  <r>
    <n v="1092"/>
    <x v="218"/>
    <s v="Bob"/>
    <s v="South"/>
    <x v="542"/>
    <x v="0"/>
    <x v="1"/>
    <n v="3070.47"/>
    <n v="3475.29"/>
    <s v="Returning"/>
    <n v="0.2"/>
    <x v="1"/>
    <x v="0"/>
    <s v="South-Bob"/>
  </r>
  <r>
    <n v="1032"/>
    <x v="34"/>
    <s v="David"/>
    <s v="East"/>
    <x v="543"/>
    <x v="47"/>
    <x v="1"/>
    <n v="4714.74"/>
    <n v="5129.1099999999997"/>
    <s v="New"/>
    <n v="0.25"/>
    <x v="1"/>
    <x v="0"/>
    <s v="East-David"/>
  </r>
  <r>
    <n v="1091"/>
    <x v="274"/>
    <s v="Eve"/>
    <s v="West"/>
    <x v="544"/>
    <x v="43"/>
    <x v="3"/>
    <n v="3951.59"/>
    <n v="4387.01"/>
    <s v="New"/>
    <n v="7.0000000000000007E-2"/>
    <x v="1"/>
    <x v="1"/>
    <s v="West-Eve"/>
  </r>
  <r>
    <n v="1084"/>
    <x v="80"/>
    <s v="Alice"/>
    <s v="East"/>
    <x v="545"/>
    <x v="2"/>
    <x v="1"/>
    <n v="169"/>
    <n v="381.91999999999899"/>
    <s v="Returning"/>
    <n v="0.26"/>
    <x v="0"/>
    <x v="1"/>
    <s v="East-Alice"/>
  </r>
  <r>
    <n v="1024"/>
    <x v="107"/>
    <s v="Bob"/>
    <s v="South"/>
    <x v="546"/>
    <x v="27"/>
    <x v="2"/>
    <n v="2693.99"/>
    <n v="3045.9399999999901"/>
    <s v="New"/>
    <n v="0.01"/>
    <x v="0"/>
    <x v="1"/>
    <s v="South-Bob"/>
  </r>
  <r>
    <n v="1012"/>
    <x v="130"/>
    <s v="Bob"/>
    <s v="East"/>
    <x v="547"/>
    <x v="12"/>
    <x v="0"/>
    <n v="3457.28"/>
    <n v="3598.72"/>
    <s v="New"/>
    <n v="0.27"/>
    <x v="1"/>
    <x v="0"/>
    <s v="East-Bob"/>
  </r>
  <r>
    <n v="1050"/>
    <x v="26"/>
    <s v="Bob"/>
    <s v="South"/>
    <x v="548"/>
    <x v="18"/>
    <x v="0"/>
    <n v="3756.06"/>
    <n v="4255.7299999999996"/>
    <s v="Returning"/>
    <n v="0.04"/>
    <x v="0"/>
    <x v="0"/>
    <s v="South-Bob"/>
  </r>
  <r>
    <n v="1035"/>
    <x v="264"/>
    <s v="David"/>
    <s v="South"/>
    <x v="549"/>
    <x v="24"/>
    <x v="1"/>
    <n v="1105.05"/>
    <n v="1200.96"/>
    <s v="Returning"/>
    <n v="0.19"/>
    <x v="0"/>
    <x v="0"/>
    <s v="South-David"/>
  </r>
  <r>
    <n v="1033"/>
    <x v="217"/>
    <s v="Eve"/>
    <s v="East"/>
    <x v="550"/>
    <x v="4"/>
    <x v="1"/>
    <n v="4342.53"/>
    <n v="4357.49"/>
    <s v="New"/>
    <n v="0.08"/>
    <x v="1"/>
    <x v="0"/>
    <s v="East-Eve"/>
  </r>
  <r>
    <n v="1033"/>
    <x v="275"/>
    <s v="David"/>
    <s v="North"/>
    <x v="551"/>
    <x v="8"/>
    <x v="2"/>
    <n v="4781.42"/>
    <n v="4864.34"/>
    <s v="Returning"/>
    <n v="0.25"/>
    <x v="1"/>
    <x v="0"/>
    <s v="North-David"/>
  </r>
  <r>
    <n v="1061"/>
    <x v="238"/>
    <s v="Charlie"/>
    <s v="East"/>
    <x v="552"/>
    <x v="6"/>
    <x v="2"/>
    <n v="1221.74"/>
    <n v="1611.92"/>
    <s v="New"/>
    <n v="0.15"/>
    <x v="0"/>
    <x v="1"/>
    <s v="East-Charlie"/>
  </r>
  <r>
    <n v="1051"/>
    <x v="198"/>
    <s v="Bob"/>
    <s v="North"/>
    <x v="553"/>
    <x v="43"/>
    <x v="1"/>
    <n v="4418.95"/>
    <n v="4647.87"/>
    <s v="New"/>
    <n v="0.04"/>
    <x v="1"/>
    <x v="0"/>
    <s v="North-Bob"/>
  </r>
  <r>
    <n v="1043"/>
    <x v="62"/>
    <s v="Charlie"/>
    <s v="South"/>
    <x v="554"/>
    <x v="33"/>
    <x v="1"/>
    <n v="530.04"/>
    <n v="759.31999999999903"/>
    <s v="Returning"/>
    <n v="0.17"/>
    <x v="1"/>
    <x v="1"/>
    <s v="South-Charlie"/>
  </r>
  <r>
    <n v="1012"/>
    <x v="151"/>
    <s v="Alice"/>
    <s v="South"/>
    <x v="555"/>
    <x v="20"/>
    <x v="2"/>
    <n v="325.75"/>
    <n v="803.71"/>
    <s v="New"/>
    <n v="0.12"/>
    <x v="1"/>
    <x v="1"/>
    <s v="South-Alice"/>
  </r>
  <r>
    <n v="1067"/>
    <x v="276"/>
    <s v="Alice"/>
    <s v="North"/>
    <x v="556"/>
    <x v="43"/>
    <x v="3"/>
    <n v="689.66"/>
    <n v="1150.28"/>
    <s v="New"/>
    <n v="0.2"/>
    <x v="1"/>
    <x v="0"/>
    <s v="North-Alice"/>
  </r>
  <r>
    <n v="1065"/>
    <x v="174"/>
    <s v="David"/>
    <s v="South"/>
    <x v="557"/>
    <x v="14"/>
    <x v="2"/>
    <n v="335.82"/>
    <n v="498.31"/>
    <s v="New"/>
    <n v="0.26"/>
    <x v="0"/>
    <x v="1"/>
    <s v="South-David"/>
  </r>
  <r>
    <n v="1033"/>
    <x v="118"/>
    <s v="Eve"/>
    <s v="North"/>
    <x v="558"/>
    <x v="3"/>
    <x v="3"/>
    <n v="4232.8100000000004"/>
    <n v="4345.25"/>
    <s v="Returning"/>
    <n v="0.12"/>
    <x v="1"/>
    <x v="0"/>
    <s v="North-Eve"/>
  </r>
  <r>
    <n v="1040"/>
    <x v="120"/>
    <s v="Charlie"/>
    <s v="North"/>
    <x v="559"/>
    <x v="12"/>
    <x v="0"/>
    <n v="342.3"/>
    <n v="768.06"/>
    <s v="Returning"/>
    <n v="0.09"/>
    <x v="2"/>
    <x v="0"/>
    <s v="North-Charlie"/>
  </r>
  <r>
    <n v="1074"/>
    <x v="21"/>
    <s v="Eve"/>
    <s v="South"/>
    <x v="560"/>
    <x v="34"/>
    <x v="0"/>
    <n v="1394.74"/>
    <n v="1848.69"/>
    <s v="Returning"/>
    <n v="0"/>
    <x v="1"/>
    <x v="1"/>
    <s v="South-Eve"/>
  </r>
  <r>
    <n v="1043"/>
    <x v="89"/>
    <s v="David"/>
    <s v="West"/>
    <x v="561"/>
    <x v="32"/>
    <x v="2"/>
    <n v="563.59"/>
    <n v="838.97"/>
    <s v="New"/>
    <n v="0.17"/>
    <x v="2"/>
    <x v="0"/>
    <s v="West-David"/>
  </r>
  <r>
    <n v="1044"/>
    <x v="150"/>
    <s v="Alice"/>
    <s v="North"/>
    <x v="562"/>
    <x v="20"/>
    <x v="3"/>
    <n v="1512.34"/>
    <n v="1830.76"/>
    <s v="New"/>
    <n v="0.12"/>
    <x v="1"/>
    <x v="0"/>
    <s v="North-Alice"/>
  </r>
  <r>
    <n v="1029"/>
    <x v="67"/>
    <s v="Eve"/>
    <s v="East"/>
    <x v="563"/>
    <x v="13"/>
    <x v="2"/>
    <n v="498.27"/>
    <n v="634.16"/>
    <s v="Returning"/>
    <n v="0.11"/>
    <x v="2"/>
    <x v="1"/>
    <s v="East-Eve"/>
  </r>
  <r>
    <n v="1013"/>
    <x v="271"/>
    <s v="Eve"/>
    <s v="East"/>
    <x v="564"/>
    <x v="46"/>
    <x v="2"/>
    <n v="3356.62"/>
    <n v="3759.0099999999902"/>
    <s v="Returning"/>
    <n v="0.05"/>
    <x v="2"/>
    <x v="1"/>
    <s v="East-Eve"/>
  </r>
  <r>
    <n v="1012"/>
    <x v="264"/>
    <s v="Alice"/>
    <s v="South"/>
    <x v="565"/>
    <x v="14"/>
    <x v="3"/>
    <n v="709.97"/>
    <n v="1029.71"/>
    <s v="Returning"/>
    <n v="0.13"/>
    <x v="1"/>
    <x v="1"/>
    <s v="South-Alice"/>
  </r>
  <r>
    <n v="1095"/>
    <x v="27"/>
    <s v="Charlie"/>
    <s v="West"/>
    <x v="566"/>
    <x v="5"/>
    <x v="2"/>
    <n v="4266.6400000000003"/>
    <n v="4523.3599999999997"/>
    <s v="New"/>
    <n v="0.3"/>
    <x v="1"/>
    <x v="1"/>
    <s v="West-Charlie"/>
  </r>
  <r>
    <n v="1046"/>
    <x v="257"/>
    <s v="Alice"/>
    <s v="South"/>
    <x v="567"/>
    <x v="41"/>
    <x v="0"/>
    <n v="4095.1"/>
    <n v="4134.55"/>
    <s v="Returning"/>
    <n v="0.09"/>
    <x v="1"/>
    <x v="1"/>
    <s v="South-Alice"/>
  </r>
  <r>
    <n v="1002"/>
    <x v="277"/>
    <s v="Eve"/>
    <s v="West"/>
    <x v="568"/>
    <x v="0"/>
    <x v="1"/>
    <n v="117.63"/>
    <n v="576.44000000000005"/>
    <s v="New"/>
    <n v="0.18"/>
    <x v="2"/>
    <x v="1"/>
    <s v="West-Eve"/>
  </r>
  <r>
    <n v="1035"/>
    <x v="0"/>
    <s v="Charlie"/>
    <s v="North"/>
    <x v="569"/>
    <x v="47"/>
    <x v="1"/>
    <n v="4483.8500000000004"/>
    <n v="4795.42"/>
    <s v="Returning"/>
    <n v="0.23"/>
    <x v="0"/>
    <x v="0"/>
    <s v="North-Charlie"/>
  </r>
  <r>
    <n v="1087"/>
    <x v="175"/>
    <s v="Charlie"/>
    <s v="North"/>
    <x v="570"/>
    <x v="46"/>
    <x v="2"/>
    <n v="193.27"/>
    <n v="297.69"/>
    <s v="New"/>
    <n v="0.22"/>
    <x v="0"/>
    <x v="0"/>
    <s v="North-Charlie"/>
  </r>
  <r>
    <n v="1081"/>
    <x v="29"/>
    <s v="Alice"/>
    <s v="North"/>
    <x v="571"/>
    <x v="18"/>
    <x v="3"/>
    <n v="1236.25"/>
    <n v="1543.38"/>
    <s v="New"/>
    <n v="0.1"/>
    <x v="1"/>
    <x v="0"/>
    <s v="North-Alice"/>
  </r>
  <r>
    <n v="1090"/>
    <x v="278"/>
    <s v="Eve"/>
    <s v="North"/>
    <x v="572"/>
    <x v="23"/>
    <x v="3"/>
    <n v="210.33"/>
    <n v="552.29"/>
    <s v="Returning"/>
    <n v="0.18"/>
    <x v="0"/>
    <x v="1"/>
    <s v="North-Eve"/>
  </r>
  <r>
    <n v="1008"/>
    <x v="149"/>
    <s v="David"/>
    <s v="East"/>
    <x v="573"/>
    <x v="35"/>
    <x v="0"/>
    <n v="1712.43"/>
    <n v="1980.06"/>
    <s v="New"/>
    <n v="0.26"/>
    <x v="0"/>
    <x v="0"/>
    <s v="East-David"/>
  </r>
  <r>
    <n v="1093"/>
    <x v="279"/>
    <s v="Eve"/>
    <s v="East"/>
    <x v="574"/>
    <x v="33"/>
    <x v="3"/>
    <n v="2593.64"/>
    <n v="2955.5099999999902"/>
    <s v="Returning"/>
    <n v="0"/>
    <x v="1"/>
    <x v="1"/>
    <s v="East-Eve"/>
  </r>
  <r>
    <n v="1026"/>
    <x v="209"/>
    <s v="Bob"/>
    <s v="South"/>
    <x v="575"/>
    <x v="41"/>
    <x v="3"/>
    <n v="3993.39"/>
    <n v="4288.3"/>
    <s v="New"/>
    <n v="0.13"/>
    <x v="2"/>
    <x v="0"/>
    <s v="South-Bob"/>
  </r>
  <r>
    <n v="1074"/>
    <x v="257"/>
    <s v="David"/>
    <s v="West"/>
    <x v="576"/>
    <x v="6"/>
    <x v="0"/>
    <n v="1723.01"/>
    <n v="2197.42"/>
    <s v="New"/>
    <n v="7.0000000000000007E-2"/>
    <x v="1"/>
    <x v="1"/>
    <s v="West-David"/>
  </r>
  <r>
    <n v="1090"/>
    <x v="118"/>
    <s v="Charlie"/>
    <s v="North"/>
    <x v="577"/>
    <x v="16"/>
    <x v="2"/>
    <n v="3542.18"/>
    <n v="3578.49"/>
    <s v="Returning"/>
    <n v="0.12"/>
    <x v="0"/>
    <x v="0"/>
    <s v="North-Charlie"/>
  </r>
  <r>
    <n v="1034"/>
    <x v="146"/>
    <s v="David"/>
    <s v="North"/>
    <x v="578"/>
    <x v="24"/>
    <x v="1"/>
    <n v="978.15"/>
    <n v="1040.21"/>
    <s v="New"/>
    <n v="0.12"/>
    <x v="2"/>
    <x v="1"/>
    <s v="North-David"/>
  </r>
  <r>
    <n v="1007"/>
    <x v="157"/>
    <s v="Charlie"/>
    <s v="West"/>
    <x v="579"/>
    <x v="4"/>
    <x v="0"/>
    <n v="3765.46"/>
    <n v="3860.56"/>
    <s v="Returning"/>
    <n v="0.22"/>
    <x v="0"/>
    <x v="1"/>
    <s v="West-Charlie"/>
  </r>
  <r>
    <n v="1068"/>
    <x v="24"/>
    <s v="Charlie"/>
    <s v="West"/>
    <x v="580"/>
    <x v="31"/>
    <x v="2"/>
    <n v="1218.18"/>
    <n v="1566.36"/>
    <s v="Returning"/>
    <n v="0.03"/>
    <x v="2"/>
    <x v="1"/>
    <s v="West-Charlie"/>
  </r>
  <r>
    <n v="1058"/>
    <x v="280"/>
    <s v="David"/>
    <s v="South"/>
    <x v="581"/>
    <x v="14"/>
    <x v="0"/>
    <n v="760.55"/>
    <n v="1086.8899999999901"/>
    <s v="Returning"/>
    <n v="0.15"/>
    <x v="0"/>
    <x v="1"/>
    <s v="South-David"/>
  </r>
  <r>
    <n v="1075"/>
    <x v="3"/>
    <s v="Charlie"/>
    <s v="West"/>
    <x v="582"/>
    <x v="31"/>
    <x v="2"/>
    <n v="967.77"/>
    <n v="1414.88"/>
    <s v="New"/>
    <n v="0.17"/>
    <x v="1"/>
    <x v="0"/>
    <s v="West-Charlie"/>
  </r>
  <r>
    <n v="1029"/>
    <x v="281"/>
    <s v="Charlie"/>
    <s v="North"/>
    <x v="583"/>
    <x v="17"/>
    <x v="0"/>
    <n v="951.21"/>
    <n v="1320.32"/>
    <s v="New"/>
    <n v="0.15"/>
    <x v="0"/>
    <x v="0"/>
    <s v="North-Charlie"/>
  </r>
  <r>
    <n v="1036"/>
    <x v="282"/>
    <s v="Bob"/>
    <s v="North"/>
    <x v="17"/>
    <x v="48"/>
    <x v="2"/>
    <n v="2588.67"/>
    <n v="2847.76"/>
    <s v="New"/>
    <n v="0.22"/>
    <x v="0"/>
    <x v="1"/>
    <s v="North-Bob"/>
  </r>
  <r>
    <n v="1089"/>
    <x v="3"/>
    <s v="Eve"/>
    <s v="North"/>
    <x v="584"/>
    <x v="41"/>
    <x v="0"/>
    <n v="4231.75"/>
    <n v="4727.75"/>
    <s v="Returning"/>
    <n v="0.12"/>
    <x v="2"/>
    <x v="1"/>
    <s v="North-Eve"/>
  </r>
  <r>
    <n v="1021"/>
    <x v="208"/>
    <s v="Eve"/>
    <s v="North"/>
    <x v="585"/>
    <x v="12"/>
    <x v="2"/>
    <n v="444.05"/>
    <n v="584.44000000000005"/>
    <s v="Returning"/>
    <n v="0.28000000000000003"/>
    <x v="0"/>
    <x v="1"/>
    <s v="North-Eve"/>
  </r>
  <r>
    <n v="1036"/>
    <x v="199"/>
    <s v="Bob"/>
    <s v="North"/>
    <x v="586"/>
    <x v="31"/>
    <x v="0"/>
    <n v="3549.43"/>
    <n v="3967.6899999999901"/>
    <s v="New"/>
    <n v="0.14000000000000001"/>
    <x v="1"/>
    <x v="0"/>
    <s v="North-Bob"/>
  </r>
  <r>
    <n v="1010"/>
    <x v="197"/>
    <s v="David"/>
    <s v="South"/>
    <x v="587"/>
    <x v="2"/>
    <x v="1"/>
    <n v="3289.01"/>
    <n v="3508.14"/>
    <s v="New"/>
    <n v="0.17"/>
    <x v="1"/>
    <x v="1"/>
    <s v="South-David"/>
  </r>
  <r>
    <n v="1073"/>
    <x v="283"/>
    <s v="Alice"/>
    <s v="North"/>
    <x v="588"/>
    <x v="17"/>
    <x v="1"/>
    <n v="4368.97"/>
    <n v="4696.8500000000004"/>
    <s v="Returning"/>
    <n v="0.25"/>
    <x v="1"/>
    <x v="1"/>
    <s v="North-Alice"/>
  </r>
  <r>
    <n v="1024"/>
    <x v="284"/>
    <s v="Alice"/>
    <s v="South"/>
    <x v="589"/>
    <x v="22"/>
    <x v="3"/>
    <n v="1258.53"/>
    <n v="1624.8899999999901"/>
    <s v="New"/>
    <n v="0.08"/>
    <x v="2"/>
    <x v="0"/>
    <s v="South-Alice"/>
  </r>
  <r>
    <n v="1064"/>
    <x v="177"/>
    <s v="Alice"/>
    <s v="North"/>
    <x v="590"/>
    <x v="9"/>
    <x v="2"/>
    <n v="2278.04"/>
    <n v="2598.58"/>
    <s v="Returning"/>
    <n v="0.02"/>
    <x v="2"/>
    <x v="1"/>
    <s v="North-Alice"/>
  </r>
  <r>
    <n v="1099"/>
    <x v="285"/>
    <s v="Bob"/>
    <s v="East"/>
    <x v="591"/>
    <x v="17"/>
    <x v="0"/>
    <n v="4632.8500000000004"/>
    <n v="4711.7"/>
    <s v="New"/>
    <n v="0.21"/>
    <x v="0"/>
    <x v="1"/>
    <s v="East-Bob"/>
  </r>
  <r>
    <n v="1049"/>
    <x v="60"/>
    <s v="Bob"/>
    <s v="East"/>
    <x v="592"/>
    <x v="12"/>
    <x v="2"/>
    <n v="3316.97"/>
    <n v="3544.02"/>
    <s v="Returning"/>
    <n v="0.14000000000000001"/>
    <x v="0"/>
    <x v="0"/>
    <s v="East-Bob"/>
  </r>
  <r>
    <n v="1099"/>
    <x v="189"/>
    <s v="Charlie"/>
    <s v="East"/>
    <x v="593"/>
    <x v="17"/>
    <x v="1"/>
    <n v="1974.4"/>
    <n v="2259.5"/>
    <s v="New"/>
    <n v="0.27"/>
    <x v="0"/>
    <x v="1"/>
    <s v="East-Charlie"/>
  </r>
  <r>
    <n v="1036"/>
    <x v="50"/>
    <s v="Alice"/>
    <s v="East"/>
    <x v="594"/>
    <x v="5"/>
    <x v="2"/>
    <n v="700.49"/>
    <n v="1126.52"/>
    <s v="New"/>
    <n v="0.28999999999999998"/>
    <x v="2"/>
    <x v="1"/>
    <s v="East-Alice"/>
  </r>
  <r>
    <n v="1082"/>
    <x v="239"/>
    <s v="David"/>
    <s v="South"/>
    <x v="595"/>
    <x v="39"/>
    <x v="0"/>
    <n v="1349.3"/>
    <n v="1576.69"/>
    <s v="Returning"/>
    <n v="0.12"/>
    <x v="2"/>
    <x v="0"/>
    <s v="South-David"/>
  </r>
  <r>
    <n v="1096"/>
    <x v="62"/>
    <s v="David"/>
    <s v="South"/>
    <x v="596"/>
    <x v="15"/>
    <x v="2"/>
    <n v="2927.02"/>
    <n v="3387.21"/>
    <s v="Returning"/>
    <n v="0.12"/>
    <x v="0"/>
    <x v="1"/>
    <s v="South-David"/>
  </r>
  <r>
    <n v="1024"/>
    <x v="115"/>
    <s v="Alice"/>
    <s v="West"/>
    <x v="597"/>
    <x v="39"/>
    <x v="0"/>
    <n v="3604.93"/>
    <n v="3830.71"/>
    <s v="Returning"/>
    <n v="0.12"/>
    <x v="2"/>
    <x v="0"/>
    <s v="West-Alice"/>
  </r>
  <r>
    <n v="1023"/>
    <x v="251"/>
    <s v="Alice"/>
    <s v="North"/>
    <x v="598"/>
    <x v="39"/>
    <x v="1"/>
    <n v="665.89"/>
    <n v="944.79"/>
    <s v="New"/>
    <n v="0.1"/>
    <x v="2"/>
    <x v="1"/>
    <s v="North-Alice"/>
  </r>
  <r>
    <n v="1062"/>
    <x v="260"/>
    <s v="Alice"/>
    <s v="East"/>
    <x v="599"/>
    <x v="38"/>
    <x v="1"/>
    <n v="3018.01"/>
    <n v="3418.19"/>
    <s v="Returning"/>
    <n v="0.23"/>
    <x v="1"/>
    <x v="1"/>
    <s v="East-Alice"/>
  </r>
  <r>
    <n v="1096"/>
    <x v="82"/>
    <s v="Bob"/>
    <s v="South"/>
    <x v="600"/>
    <x v="1"/>
    <x v="1"/>
    <n v="2774.24"/>
    <n v="3069.9399999999901"/>
    <s v="Returning"/>
    <n v="0.23"/>
    <x v="1"/>
    <x v="1"/>
    <s v="South-Bob"/>
  </r>
  <r>
    <n v="1037"/>
    <x v="176"/>
    <s v="Bob"/>
    <s v="North"/>
    <x v="601"/>
    <x v="5"/>
    <x v="3"/>
    <n v="2594.08"/>
    <n v="3074.59"/>
    <s v="New"/>
    <n v="0.14000000000000001"/>
    <x v="0"/>
    <x v="1"/>
    <s v="North-Bob"/>
  </r>
  <r>
    <n v="1012"/>
    <x v="56"/>
    <s v="Bob"/>
    <s v="North"/>
    <x v="602"/>
    <x v="25"/>
    <x v="1"/>
    <n v="3466.11"/>
    <n v="3799.67"/>
    <s v="Returning"/>
    <n v="0.01"/>
    <x v="0"/>
    <x v="1"/>
    <s v="North-Bob"/>
  </r>
  <r>
    <n v="1055"/>
    <x v="255"/>
    <s v="Eve"/>
    <s v="South"/>
    <x v="603"/>
    <x v="25"/>
    <x v="2"/>
    <n v="4195.38"/>
    <n v="4461.51"/>
    <s v="Returning"/>
    <n v="0.09"/>
    <x v="1"/>
    <x v="0"/>
    <s v="South-Eve"/>
  </r>
  <r>
    <n v="1013"/>
    <x v="62"/>
    <s v="David"/>
    <s v="East"/>
    <x v="604"/>
    <x v="7"/>
    <x v="3"/>
    <n v="1648.8"/>
    <n v="1670.36"/>
    <s v="Returning"/>
    <n v="0.09"/>
    <x v="2"/>
    <x v="1"/>
    <s v="East-David"/>
  </r>
  <r>
    <n v="1023"/>
    <x v="263"/>
    <s v="David"/>
    <s v="West"/>
    <x v="605"/>
    <x v="3"/>
    <x v="1"/>
    <n v="4450.6099999999997"/>
    <n v="4663.3399999999901"/>
    <s v="New"/>
    <n v="0.24"/>
    <x v="0"/>
    <x v="1"/>
    <s v="West-David"/>
  </r>
  <r>
    <n v="1089"/>
    <x v="18"/>
    <s v="Charlie"/>
    <s v="North"/>
    <x v="606"/>
    <x v="17"/>
    <x v="2"/>
    <n v="845.14"/>
    <n v="1001.77"/>
    <s v="New"/>
    <n v="0.03"/>
    <x v="0"/>
    <x v="0"/>
    <s v="North-Charlie"/>
  </r>
  <r>
    <n v="1099"/>
    <x v="105"/>
    <s v="Bob"/>
    <s v="West"/>
    <x v="607"/>
    <x v="8"/>
    <x v="2"/>
    <n v="906.47"/>
    <n v="1283.04"/>
    <s v="New"/>
    <n v="0.24"/>
    <x v="0"/>
    <x v="0"/>
    <s v="West-Bob"/>
  </r>
  <r>
    <n v="1030"/>
    <x v="78"/>
    <s v="Eve"/>
    <s v="East"/>
    <x v="608"/>
    <x v="38"/>
    <x v="2"/>
    <n v="1370.52"/>
    <n v="1482.58"/>
    <s v="Returning"/>
    <n v="0.2"/>
    <x v="2"/>
    <x v="1"/>
    <s v="East-Eve"/>
  </r>
  <r>
    <n v="1017"/>
    <x v="146"/>
    <s v="Eve"/>
    <s v="East"/>
    <x v="609"/>
    <x v="21"/>
    <x v="0"/>
    <n v="641.67999999999995"/>
    <n v="752.24"/>
    <s v="New"/>
    <n v="0.22"/>
    <x v="1"/>
    <x v="0"/>
    <s v="East-Eve"/>
  </r>
  <r>
    <n v="1062"/>
    <x v="176"/>
    <s v="David"/>
    <s v="West"/>
    <x v="610"/>
    <x v="23"/>
    <x v="3"/>
    <n v="1190.08"/>
    <n v="1292.9399999999901"/>
    <s v="Returning"/>
    <n v="0.13"/>
    <x v="0"/>
    <x v="1"/>
    <s v="West-David"/>
  </r>
  <r>
    <n v="1084"/>
    <x v="142"/>
    <s v="Bob"/>
    <s v="East"/>
    <x v="611"/>
    <x v="9"/>
    <x v="2"/>
    <n v="576.74"/>
    <n v="648.29"/>
    <s v="Returning"/>
    <n v="0.2"/>
    <x v="1"/>
    <x v="0"/>
    <s v="East-Bob"/>
  </r>
  <r>
    <n v="1089"/>
    <x v="42"/>
    <s v="Charlie"/>
    <s v="North"/>
    <x v="612"/>
    <x v="41"/>
    <x v="0"/>
    <n v="4117.67"/>
    <n v="4280.0600000000004"/>
    <s v="Returning"/>
    <n v="0.18"/>
    <x v="1"/>
    <x v="0"/>
    <s v="North-Charlie"/>
  </r>
  <r>
    <n v="1086"/>
    <x v="65"/>
    <s v="Bob"/>
    <s v="West"/>
    <x v="613"/>
    <x v="48"/>
    <x v="1"/>
    <n v="737.9"/>
    <n v="1182"/>
    <s v="New"/>
    <n v="0.23"/>
    <x v="2"/>
    <x v="1"/>
    <s v="West-Bob"/>
  </r>
  <r>
    <n v="1013"/>
    <x v="11"/>
    <s v="Alice"/>
    <s v="East"/>
    <x v="614"/>
    <x v="42"/>
    <x v="2"/>
    <n v="3749.12"/>
    <n v="4138.83"/>
    <s v="New"/>
    <n v="0.13"/>
    <x v="2"/>
    <x v="0"/>
    <s v="East-Alice"/>
  </r>
  <r>
    <n v="1059"/>
    <x v="115"/>
    <s v="Bob"/>
    <s v="West"/>
    <x v="615"/>
    <x v="20"/>
    <x v="0"/>
    <n v="287.17"/>
    <n v="657.44"/>
    <s v="Returning"/>
    <n v="0.14000000000000001"/>
    <x v="2"/>
    <x v="1"/>
    <s v="West-Bob"/>
  </r>
  <r>
    <n v="1019"/>
    <x v="272"/>
    <s v="Alice"/>
    <s v="North"/>
    <x v="616"/>
    <x v="26"/>
    <x v="2"/>
    <n v="4745.18"/>
    <n v="5145.88"/>
    <s v="Returning"/>
    <n v="0.19"/>
    <x v="2"/>
    <x v="0"/>
    <s v="North-Alice"/>
  </r>
  <r>
    <n v="1049"/>
    <x v="286"/>
    <s v="Alice"/>
    <s v="East"/>
    <x v="617"/>
    <x v="17"/>
    <x v="3"/>
    <n v="3570.24"/>
    <n v="3712.25"/>
    <s v="New"/>
    <n v="0.03"/>
    <x v="2"/>
    <x v="0"/>
    <s v="East-Alice"/>
  </r>
  <r>
    <n v="1100"/>
    <x v="287"/>
    <s v="Charlie"/>
    <s v="North"/>
    <x v="618"/>
    <x v="1"/>
    <x v="3"/>
    <n v="83.64"/>
    <n v="528.49"/>
    <s v="New"/>
    <n v="0.13"/>
    <x v="2"/>
    <x v="0"/>
    <s v="North-Charlie"/>
  </r>
  <r>
    <n v="1012"/>
    <x v="229"/>
    <s v="David"/>
    <s v="East"/>
    <x v="619"/>
    <x v="19"/>
    <x v="1"/>
    <n v="3831.09"/>
    <n v="3908.37"/>
    <s v="New"/>
    <n v="0.28999999999999998"/>
    <x v="0"/>
    <x v="1"/>
    <s v="East-David"/>
  </r>
  <r>
    <n v="1061"/>
    <x v="288"/>
    <s v="Bob"/>
    <s v="South"/>
    <x v="620"/>
    <x v="23"/>
    <x v="2"/>
    <n v="2594.71"/>
    <n v="2769.52"/>
    <s v="Returning"/>
    <n v="0.01"/>
    <x v="1"/>
    <x v="1"/>
    <s v="South-Bob"/>
  </r>
  <r>
    <n v="1019"/>
    <x v="141"/>
    <s v="Alice"/>
    <s v="East"/>
    <x v="621"/>
    <x v="40"/>
    <x v="0"/>
    <n v="3907.86"/>
    <n v="4205.37"/>
    <s v="New"/>
    <n v="0.09"/>
    <x v="2"/>
    <x v="0"/>
    <s v="East-Alice"/>
  </r>
  <r>
    <n v="1076"/>
    <x v="89"/>
    <s v="Bob"/>
    <s v="West"/>
    <x v="622"/>
    <x v="5"/>
    <x v="1"/>
    <n v="2636.36"/>
    <n v="2696.78"/>
    <s v="New"/>
    <n v="0.09"/>
    <x v="0"/>
    <x v="1"/>
    <s v="West-Bob"/>
  </r>
  <r>
    <n v="1009"/>
    <x v="113"/>
    <s v="David"/>
    <s v="East"/>
    <x v="623"/>
    <x v="21"/>
    <x v="2"/>
    <n v="3223.07"/>
    <n v="3590.83"/>
    <s v="New"/>
    <n v="0.19"/>
    <x v="1"/>
    <x v="1"/>
    <s v="East-David"/>
  </r>
  <r>
    <n v="1071"/>
    <x v="250"/>
    <s v="David"/>
    <s v="North"/>
    <x v="624"/>
    <x v="20"/>
    <x v="1"/>
    <n v="3942.34"/>
    <n v="4142.09"/>
    <s v="Returning"/>
    <n v="0.03"/>
    <x v="2"/>
    <x v="1"/>
    <s v="North-David"/>
  </r>
  <r>
    <n v="1028"/>
    <x v="30"/>
    <s v="Eve"/>
    <s v="North"/>
    <x v="625"/>
    <x v="40"/>
    <x v="0"/>
    <n v="2055.2800000000002"/>
    <n v="2449.64"/>
    <s v="New"/>
    <n v="0.19"/>
    <x v="2"/>
    <x v="0"/>
    <s v="North-Eve"/>
  </r>
  <r>
    <n v="1078"/>
    <x v="200"/>
    <s v="David"/>
    <s v="East"/>
    <x v="626"/>
    <x v="31"/>
    <x v="1"/>
    <n v="63.41"/>
    <n v="314.93"/>
    <s v="Returning"/>
    <n v="0.03"/>
    <x v="0"/>
    <x v="1"/>
    <s v="East-David"/>
  </r>
  <r>
    <n v="1095"/>
    <x v="128"/>
    <s v="Charlie"/>
    <s v="West"/>
    <x v="627"/>
    <x v="48"/>
    <x v="1"/>
    <n v="4257.24"/>
    <n v="4355.87"/>
    <s v="Returning"/>
    <n v="0.03"/>
    <x v="1"/>
    <x v="0"/>
    <s v="West-Charlie"/>
  </r>
  <r>
    <n v="1052"/>
    <x v="289"/>
    <s v="Alice"/>
    <s v="South"/>
    <x v="628"/>
    <x v="39"/>
    <x v="1"/>
    <n v="1935.41"/>
    <n v="2305.44"/>
    <s v="Returning"/>
    <n v="0.22"/>
    <x v="2"/>
    <x v="0"/>
    <s v="South-Alice"/>
  </r>
  <r>
    <n v="1083"/>
    <x v="11"/>
    <s v="Eve"/>
    <s v="West"/>
    <x v="629"/>
    <x v="31"/>
    <x v="2"/>
    <n v="2505.41"/>
    <n v="2638.96"/>
    <s v="New"/>
    <n v="0.1"/>
    <x v="1"/>
    <x v="0"/>
    <s v="West-Eve"/>
  </r>
  <r>
    <n v="1016"/>
    <x v="163"/>
    <s v="Charlie"/>
    <s v="South"/>
    <x v="630"/>
    <x v="38"/>
    <x v="0"/>
    <n v="88.44"/>
    <n v="338.94"/>
    <s v="New"/>
    <n v="0.28999999999999998"/>
    <x v="0"/>
    <x v="0"/>
    <s v="South-Charlie"/>
  </r>
  <r>
    <n v="1069"/>
    <x v="148"/>
    <s v="Bob"/>
    <s v="North"/>
    <x v="631"/>
    <x v="41"/>
    <x v="3"/>
    <n v="2485.86"/>
    <n v="2532.87"/>
    <s v="New"/>
    <n v="0.01"/>
    <x v="2"/>
    <x v="0"/>
    <s v="North-Bob"/>
  </r>
  <r>
    <n v="1099"/>
    <x v="290"/>
    <s v="Alice"/>
    <s v="West"/>
    <x v="632"/>
    <x v="16"/>
    <x v="2"/>
    <n v="4933.1099999999997"/>
    <n v="5245.86"/>
    <s v="Returning"/>
    <n v="0.13"/>
    <x v="1"/>
    <x v="1"/>
    <s v="West-Alice"/>
  </r>
  <r>
    <n v="1012"/>
    <x v="66"/>
    <s v="David"/>
    <s v="South"/>
    <x v="633"/>
    <x v="12"/>
    <x v="3"/>
    <n v="1427.42"/>
    <n v="1763.69"/>
    <s v="New"/>
    <n v="0.03"/>
    <x v="0"/>
    <x v="1"/>
    <s v="South-David"/>
  </r>
  <r>
    <n v="1025"/>
    <x v="291"/>
    <s v="Alice"/>
    <s v="East"/>
    <x v="634"/>
    <x v="42"/>
    <x v="3"/>
    <n v="2007.32"/>
    <n v="2202.87"/>
    <s v="Returning"/>
    <n v="0.11"/>
    <x v="0"/>
    <x v="0"/>
    <s v="East-Alice"/>
  </r>
  <r>
    <n v="1052"/>
    <x v="99"/>
    <s v="Bob"/>
    <s v="North"/>
    <x v="635"/>
    <x v="23"/>
    <x v="2"/>
    <n v="3451.59"/>
    <n v="3929.26"/>
    <s v="New"/>
    <n v="0.3"/>
    <x v="2"/>
    <x v="1"/>
    <s v="North-Bob"/>
  </r>
  <r>
    <n v="1085"/>
    <x v="70"/>
    <s v="Eve"/>
    <s v="East"/>
    <x v="636"/>
    <x v="11"/>
    <x v="2"/>
    <n v="4083.23"/>
    <n v="4521.57"/>
    <s v="New"/>
    <n v="0.27"/>
    <x v="1"/>
    <x v="1"/>
    <s v="East-Eve"/>
  </r>
  <r>
    <n v="1100"/>
    <x v="206"/>
    <s v="Eve"/>
    <s v="North"/>
    <x v="637"/>
    <x v="8"/>
    <x v="0"/>
    <n v="2116.09"/>
    <n v="2472.98"/>
    <s v="New"/>
    <n v="0.01"/>
    <x v="2"/>
    <x v="1"/>
    <s v="North-Eve"/>
  </r>
  <r>
    <n v="1053"/>
    <x v="57"/>
    <s v="Eve"/>
    <s v="West"/>
    <x v="638"/>
    <x v="23"/>
    <x v="0"/>
    <n v="1582.86"/>
    <n v="1942.55"/>
    <s v="New"/>
    <n v="0.17"/>
    <x v="2"/>
    <x v="1"/>
    <s v="West-Eve"/>
  </r>
  <r>
    <n v="1023"/>
    <x v="186"/>
    <s v="David"/>
    <s v="West"/>
    <x v="639"/>
    <x v="27"/>
    <x v="1"/>
    <n v="4692.24"/>
    <n v="4825.92"/>
    <s v="Returning"/>
    <n v="0.19"/>
    <x v="1"/>
    <x v="1"/>
    <s v="West-David"/>
  </r>
  <r>
    <n v="1016"/>
    <x v="177"/>
    <s v="Charlie"/>
    <s v="North"/>
    <x v="640"/>
    <x v="45"/>
    <x v="3"/>
    <n v="3401.87"/>
    <n v="3733.71"/>
    <s v="Returning"/>
    <n v="0.06"/>
    <x v="1"/>
    <x v="1"/>
    <s v="North-Charlie"/>
  </r>
  <r>
    <n v="1057"/>
    <x v="231"/>
    <s v="Charlie"/>
    <s v="North"/>
    <x v="641"/>
    <x v="26"/>
    <x v="0"/>
    <n v="639.16"/>
    <n v="746.28"/>
    <s v="Returning"/>
    <n v="0.04"/>
    <x v="1"/>
    <x v="1"/>
    <s v="North-Charlie"/>
  </r>
  <r>
    <n v="1039"/>
    <x v="292"/>
    <s v="Alice"/>
    <s v="North"/>
    <x v="642"/>
    <x v="45"/>
    <x v="1"/>
    <n v="391.19"/>
    <n v="471.75"/>
    <s v="Returning"/>
    <n v="0.27"/>
    <x v="0"/>
    <x v="0"/>
    <s v="North-Alice"/>
  </r>
  <r>
    <n v="1053"/>
    <x v="54"/>
    <s v="David"/>
    <s v="West"/>
    <x v="643"/>
    <x v="31"/>
    <x v="0"/>
    <n v="2443.5700000000002"/>
    <n v="2943.31"/>
    <s v="New"/>
    <n v="0.28999999999999998"/>
    <x v="0"/>
    <x v="0"/>
    <s v="West-David"/>
  </r>
  <r>
    <n v="1042"/>
    <x v="290"/>
    <s v="Eve"/>
    <s v="South"/>
    <x v="644"/>
    <x v="30"/>
    <x v="2"/>
    <n v="1139.45"/>
    <n v="1454.41"/>
    <s v="Returning"/>
    <n v="0.3"/>
    <x v="1"/>
    <x v="0"/>
    <s v="South-Eve"/>
  </r>
  <r>
    <n v="1058"/>
    <x v="263"/>
    <s v="Eve"/>
    <s v="East"/>
    <x v="645"/>
    <x v="37"/>
    <x v="0"/>
    <n v="1307.22"/>
    <n v="1528.4"/>
    <s v="Returning"/>
    <n v="0.24"/>
    <x v="0"/>
    <x v="1"/>
    <s v="East-Eve"/>
  </r>
  <r>
    <n v="1039"/>
    <x v="68"/>
    <s v="Bob"/>
    <s v="East"/>
    <x v="646"/>
    <x v="39"/>
    <x v="3"/>
    <n v="4394.58"/>
    <n v="4545.78"/>
    <s v="Returning"/>
    <n v="0.2"/>
    <x v="2"/>
    <x v="1"/>
    <s v="East-Bob"/>
  </r>
  <r>
    <n v="1014"/>
    <x v="293"/>
    <s v="Bob"/>
    <s v="West"/>
    <x v="647"/>
    <x v="37"/>
    <x v="0"/>
    <n v="493.35"/>
    <n v="799.27"/>
    <s v="New"/>
    <n v="0.1"/>
    <x v="1"/>
    <x v="0"/>
    <s v="West-Bob"/>
  </r>
  <r>
    <n v="1095"/>
    <x v="42"/>
    <s v="Eve"/>
    <s v="East"/>
    <x v="648"/>
    <x v="25"/>
    <x v="3"/>
    <n v="3591.05"/>
    <n v="3625.35"/>
    <s v="Returning"/>
    <n v="0.05"/>
    <x v="2"/>
    <x v="1"/>
    <s v="East-Eve"/>
  </r>
  <r>
    <n v="1005"/>
    <x v="116"/>
    <s v="Eve"/>
    <s v="North"/>
    <x v="649"/>
    <x v="39"/>
    <x v="2"/>
    <n v="1392.15"/>
    <n v="1448.54"/>
    <s v="Returning"/>
    <n v="0.02"/>
    <x v="1"/>
    <x v="1"/>
    <s v="North-Eve"/>
  </r>
  <r>
    <n v="1035"/>
    <x v="133"/>
    <s v="David"/>
    <s v="South"/>
    <x v="650"/>
    <x v="2"/>
    <x v="3"/>
    <n v="3813.62"/>
    <n v="3839.72"/>
    <s v="New"/>
    <n v="0.21"/>
    <x v="2"/>
    <x v="0"/>
    <s v="South-David"/>
  </r>
  <r>
    <n v="1087"/>
    <x v="285"/>
    <s v="Charlie"/>
    <s v="East"/>
    <x v="651"/>
    <x v="46"/>
    <x v="0"/>
    <n v="3625.94"/>
    <n v="3880.53"/>
    <s v="New"/>
    <n v="0.24"/>
    <x v="1"/>
    <x v="0"/>
    <s v="East-Charlie"/>
  </r>
  <r>
    <n v="1093"/>
    <x v="294"/>
    <s v="Bob"/>
    <s v="South"/>
    <x v="652"/>
    <x v="34"/>
    <x v="1"/>
    <n v="86.59"/>
    <n v="390.89"/>
    <s v="Returning"/>
    <n v="0.25"/>
    <x v="2"/>
    <x v="0"/>
    <s v="South-Bob"/>
  </r>
  <r>
    <n v="1075"/>
    <x v="257"/>
    <s v="Charlie"/>
    <s v="North"/>
    <x v="653"/>
    <x v="40"/>
    <x v="2"/>
    <n v="2570.2199999999998"/>
    <n v="2610.8399999999901"/>
    <s v="Returning"/>
    <n v="0.27"/>
    <x v="1"/>
    <x v="1"/>
    <s v="North-Charlie"/>
  </r>
  <r>
    <n v="1018"/>
    <x v="278"/>
    <s v="David"/>
    <s v="East"/>
    <x v="654"/>
    <x v="44"/>
    <x v="0"/>
    <n v="739.63"/>
    <n v="1103.03"/>
    <s v="New"/>
    <n v="0.26"/>
    <x v="1"/>
    <x v="1"/>
    <s v="East-David"/>
  </r>
  <r>
    <n v="1076"/>
    <x v="211"/>
    <s v="Eve"/>
    <s v="West"/>
    <x v="655"/>
    <x v="5"/>
    <x v="2"/>
    <n v="4337.82"/>
    <n v="4460.71"/>
    <s v="Returning"/>
    <n v="0.3"/>
    <x v="0"/>
    <x v="1"/>
    <s v="West-Eve"/>
  </r>
  <r>
    <n v="1009"/>
    <x v="103"/>
    <s v="Charlie"/>
    <s v="South"/>
    <x v="656"/>
    <x v="15"/>
    <x v="2"/>
    <n v="4364.3500000000004"/>
    <n v="4710.1000000000004"/>
    <s v="New"/>
    <n v="7.0000000000000007E-2"/>
    <x v="2"/>
    <x v="0"/>
    <s v="South-Charlie"/>
  </r>
  <r>
    <n v="1074"/>
    <x v="79"/>
    <s v="Eve"/>
    <s v="North"/>
    <x v="657"/>
    <x v="31"/>
    <x v="0"/>
    <n v="2120.81"/>
    <n v="2611.94"/>
    <s v="Returning"/>
    <n v="0.23"/>
    <x v="0"/>
    <x v="0"/>
    <s v="North-Eve"/>
  </r>
  <r>
    <n v="1058"/>
    <x v="295"/>
    <s v="Eve"/>
    <s v="South"/>
    <x v="658"/>
    <x v="11"/>
    <x v="0"/>
    <n v="2249.7600000000002"/>
    <n v="2598.4"/>
    <s v="Returning"/>
    <n v="0.18"/>
    <x v="2"/>
    <x v="1"/>
    <s v="South-Eve"/>
  </r>
  <r>
    <n v="1017"/>
    <x v="296"/>
    <s v="Alice"/>
    <s v="East"/>
    <x v="659"/>
    <x v="19"/>
    <x v="1"/>
    <n v="1551.25"/>
    <n v="1994.01"/>
    <s v="Returning"/>
    <n v="0.08"/>
    <x v="0"/>
    <x v="0"/>
    <s v="East-Alice"/>
  </r>
  <r>
    <n v="1007"/>
    <x v="238"/>
    <s v="Charlie"/>
    <s v="East"/>
    <x v="660"/>
    <x v="4"/>
    <x v="2"/>
    <n v="3597.2"/>
    <n v="4071.8199999999902"/>
    <s v="Returning"/>
    <n v="0.28999999999999998"/>
    <x v="1"/>
    <x v="0"/>
    <s v="East-Charlie"/>
  </r>
  <r>
    <n v="1046"/>
    <x v="91"/>
    <s v="Charlie"/>
    <s v="West"/>
    <x v="661"/>
    <x v="36"/>
    <x v="2"/>
    <n v="1825.37"/>
    <n v="2073.88"/>
    <s v="Returning"/>
    <n v="0.27"/>
    <x v="0"/>
    <x v="1"/>
    <s v="West-Charlie"/>
  </r>
  <r>
    <n v="1013"/>
    <x v="297"/>
    <s v="Eve"/>
    <s v="North"/>
    <x v="662"/>
    <x v="31"/>
    <x v="0"/>
    <n v="1375.57"/>
    <n v="1729.71"/>
    <s v="New"/>
    <n v="0.04"/>
    <x v="0"/>
    <x v="0"/>
    <s v="North-Eve"/>
  </r>
  <r>
    <n v="1040"/>
    <x v="204"/>
    <s v="David"/>
    <s v="North"/>
    <x v="663"/>
    <x v="20"/>
    <x v="3"/>
    <n v="2189.54"/>
    <n v="2617"/>
    <s v="New"/>
    <n v="0.01"/>
    <x v="1"/>
    <x v="0"/>
    <s v="North-David"/>
  </r>
  <r>
    <n v="1042"/>
    <x v="127"/>
    <s v="Alice"/>
    <s v="West"/>
    <x v="664"/>
    <x v="35"/>
    <x v="0"/>
    <n v="502.86"/>
    <n v="687.6"/>
    <s v="Returning"/>
    <n v="0.21"/>
    <x v="0"/>
    <x v="0"/>
    <s v="West-Alice"/>
  </r>
  <r>
    <n v="1009"/>
    <x v="157"/>
    <s v="Eve"/>
    <s v="West"/>
    <x v="665"/>
    <x v="25"/>
    <x v="2"/>
    <n v="3745.69"/>
    <n v="3883.77"/>
    <s v="Returning"/>
    <n v="0.18"/>
    <x v="1"/>
    <x v="1"/>
    <s v="West-Eve"/>
  </r>
  <r>
    <n v="1050"/>
    <x v="28"/>
    <s v="Bob"/>
    <s v="North"/>
    <x v="666"/>
    <x v="27"/>
    <x v="0"/>
    <n v="112.35"/>
    <n v="586.17999999999995"/>
    <s v="Returning"/>
    <n v="0.28000000000000003"/>
    <x v="2"/>
    <x v="1"/>
    <s v="North-Bob"/>
  </r>
  <r>
    <n v="1027"/>
    <x v="222"/>
    <s v="Bob"/>
    <s v="South"/>
    <x v="667"/>
    <x v="33"/>
    <x v="1"/>
    <n v="3240.2"/>
    <n v="3606.0899999999901"/>
    <s v="New"/>
    <n v="7.0000000000000007E-2"/>
    <x v="0"/>
    <x v="0"/>
    <s v="South-Bob"/>
  </r>
  <r>
    <n v="1066"/>
    <x v="11"/>
    <s v="Alice"/>
    <s v="South"/>
    <x v="668"/>
    <x v="46"/>
    <x v="3"/>
    <n v="955.18"/>
    <n v="1072.82"/>
    <s v="New"/>
    <n v="0.03"/>
    <x v="1"/>
    <x v="1"/>
    <s v="South-Alice"/>
  </r>
  <r>
    <n v="1005"/>
    <x v="136"/>
    <s v="David"/>
    <s v="West"/>
    <x v="669"/>
    <x v="8"/>
    <x v="0"/>
    <n v="1200.4000000000001"/>
    <n v="1430.45"/>
    <s v="New"/>
    <n v="0.08"/>
    <x v="1"/>
    <x v="1"/>
    <s v="West-David"/>
  </r>
  <r>
    <n v="1029"/>
    <x v="277"/>
    <s v="Eve"/>
    <s v="South"/>
    <x v="670"/>
    <x v="30"/>
    <x v="1"/>
    <n v="3196.38"/>
    <n v="3596.64"/>
    <s v="New"/>
    <n v="0.01"/>
    <x v="0"/>
    <x v="1"/>
    <s v="South-Eve"/>
  </r>
  <r>
    <n v="1037"/>
    <x v="231"/>
    <s v="Charlie"/>
    <s v="North"/>
    <x v="671"/>
    <x v="36"/>
    <x v="2"/>
    <n v="4965.07"/>
    <n v="5243.13"/>
    <s v="New"/>
    <n v="0.01"/>
    <x v="2"/>
    <x v="0"/>
    <s v="North-Charlie"/>
  </r>
  <r>
    <n v="1038"/>
    <x v="32"/>
    <s v="Alice"/>
    <s v="East"/>
    <x v="672"/>
    <x v="25"/>
    <x v="0"/>
    <n v="3899.7"/>
    <n v="4228.18"/>
    <s v="New"/>
    <n v="0.27"/>
    <x v="0"/>
    <x v="1"/>
    <s v="East-Alice"/>
  </r>
  <r>
    <n v="1083"/>
    <x v="170"/>
    <s v="David"/>
    <s v="East"/>
    <x v="673"/>
    <x v="24"/>
    <x v="2"/>
    <n v="1167.9100000000001"/>
    <n v="1547.26"/>
    <s v="New"/>
    <n v="0.11"/>
    <x v="1"/>
    <x v="0"/>
    <s v="East-David"/>
  </r>
  <r>
    <n v="1008"/>
    <x v="70"/>
    <s v="Charlie"/>
    <s v="South"/>
    <x v="674"/>
    <x v="5"/>
    <x v="1"/>
    <n v="921.32"/>
    <n v="1236.0999999999999"/>
    <s v="New"/>
    <n v="0.12"/>
    <x v="2"/>
    <x v="0"/>
    <s v="South-Charlie"/>
  </r>
  <r>
    <n v="1065"/>
    <x v="11"/>
    <s v="Bob"/>
    <s v="West"/>
    <x v="675"/>
    <x v="42"/>
    <x v="2"/>
    <n v="4337.8500000000004"/>
    <n v="4612.49"/>
    <s v="Returning"/>
    <n v="0.01"/>
    <x v="0"/>
    <x v="1"/>
    <s v="West-Bob"/>
  </r>
  <r>
    <n v="1086"/>
    <x v="298"/>
    <s v="Bob"/>
    <s v="West"/>
    <x v="676"/>
    <x v="44"/>
    <x v="1"/>
    <n v="2248.71"/>
    <n v="2626.02"/>
    <s v="New"/>
    <n v="0.08"/>
    <x v="1"/>
    <x v="0"/>
    <s v="West-Bob"/>
  </r>
  <r>
    <n v="1017"/>
    <x v="61"/>
    <s v="Charlie"/>
    <s v="West"/>
    <x v="677"/>
    <x v="39"/>
    <x v="1"/>
    <n v="728.41"/>
    <n v="1094.92"/>
    <s v="New"/>
    <n v="0.24"/>
    <x v="0"/>
    <x v="1"/>
    <s v="West-Charlie"/>
  </r>
  <r>
    <n v="1071"/>
    <x v="90"/>
    <s v="Alice"/>
    <s v="West"/>
    <x v="678"/>
    <x v="26"/>
    <x v="1"/>
    <n v="4317.95"/>
    <n v="4636.59"/>
    <s v="New"/>
    <n v="0.18"/>
    <x v="2"/>
    <x v="1"/>
    <s v="West-Alice"/>
  </r>
  <r>
    <n v="1089"/>
    <x v="175"/>
    <s v="Bob"/>
    <s v="West"/>
    <x v="679"/>
    <x v="11"/>
    <x v="0"/>
    <n v="4089.66"/>
    <n v="4275.96"/>
    <s v="New"/>
    <n v="0.23"/>
    <x v="2"/>
    <x v="0"/>
    <s v="West-Bob"/>
  </r>
  <r>
    <n v="1045"/>
    <x v="273"/>
    <s v="Eve"/>
    <s v="South"/>
    <x v="680"/>
    <x v="14"/>
    <x v="2"/>
    <n v="4920.34"/>
    <n v="5129.1899999999996"/>
    <s v="Returning"/>
    <n v="0.13"/>
    <x v="2"/>
    <x v="0"/>
    <s v="South-Eve"/>
  </r>
  <r>
    <n v="1004"/>
    <x v="59"/>
    <s v="Charlie"/>
    <s v="East"/>
    <x v="681"/>
    <x v="26"/>
    <x v="2"/>
    <n v="4553.2299999999996"/>
    <n v="5038.74"/>
    <s v="New"/>
    <n v="0.09"/>
    <x v="2"/>
    <x v="1"/>
    <s v="East-Charlie"/>
  </r>
  <r>
    <n v="1036"/>
    <x v="299"/>
    <s v="Charlie"/>
    <s v="East"/>
    <x v="682"/>
    <x v="42"/>
    <x v="3"/>
    <n v="4266.3599999999997"/>
    <n v="4331.4299999999903"/>
    <s v="Returning"/>
    <n v="0.14000000000000001"/>
    <x v="2"/>
    <x v="1"/>
    <s v="East-Charlie"/>
  </r>
  <r>
    <n v="1070"/>
    <x v="94"/>
    <s v="Bob"/>
    <s v="South"/>
    <x v="683"/>
    <x v="14"/>
    <x v="3"/>
    <n v="310.24"/>
    <n v="451.81"/>
    <s v="Returning"/>
    <n v="0.1"/>
    <x v="0"/>
    <x v="1"/>
    <s v="South-Bob"/>
  </r>
  <r>
    <n v="1031"/>
    <x v="273"/>
    <s v="Alice"/>
    <s v="West"/>
    <x v="684"/>
    <x v="15"/>
    <x v="3"/>
    <n v="566.86"/>
    <n v="818.14"/>
    <s v="Returning"/>
    <n v="0.25"/>
    <x v="2"/>
    <x v="1"/>
    <s v="West-Alice"/>
  </r>
  <r>
    <n v="1019"/>
    <x v="300"/>
    <s v="Eve"/>
    <s v="South"/>
    <x v="685"/>
    <x v="5"/>
    <x v="3"/>
    <n v="2866.47"/>
    <n v="3286.47"/>
    <s v="New"/>
    <n v="0.09"/>
    <x v="2"/>
    <x v="0"/>
    <s v="South-Eve"/>
  </r>
  <r>
    <n v="1061"/>
    <x v="228"/>
    <s v="Alice"/>
    <s v="East"/>
    <x v="686"/>
    <x v="24"/>
    <x v="2"/>
    <n v="2680.82"/>
    <n v="2771.02"/>
    <s v="New"/>
    <n v="0.2"/>
    <x v="1"/>
    <x v="0"/>
    <s v="East-Alice"/>
  </r>
  <r>
    <n v="1054"/>
    <x v="194"/>
    <s v="David"/>
    <s v="North"/>
    <x v="687"/>
    <x v="10"/>
    <x v="1"/>
    <n v="2316.92"/>
    <n v="2462.63"/>
    <s v="New"/>
    <n v="0.04"/>
    <x v="2"/>
    <x v="0"/>
    <s v="North-David"/>
  </r>
  <r>
    <n v="1039"/>
    <x v="32"/>
    <s v="David"/>
    <s v="South"/>
    <x v="688"/>
    <x v="46"/>
    <x v="1"/>
    <n v="2014.11"/>
    <n v="2056.35"/>
    <s v="Returning"/>
    <n v="0.21"/>
    <x v="1"/>
    <x v="1"/>
    <s v="South-David"/>
  </r>
  <r>
    <n v="1091"/>
    <x v="275"/>
    <s v="Bob"/>
    <s v="West"/>
    <x v="689"/>
    <x v="3"/>
    <x v="0"/>
    <n v="2184.4899999999998"/>
    <n v="2540.4199999999901"/>
    <s v="Returning"/>
    <n v="0.27"/>
    <x v="1"/>
    <x v="0"/>
    <s v="West-Bob"/>
  </r>
  <r>
    <n v="1074"/>
    <x v="185"/>
    <s v="Bob"/>
    <s v="East"/>
    <x v="690"/>
    <x v="39"/>
    <x v="1"/>
    <n v="2868.02"/>
    <n v="2994.74"/>
    <s v="Returning"/>
    <n v="0.18"/>
    <x v="1"/>
    <x v="0"/>
    <s v="East-Bob"/>
  </r>
  <r>
    <n v="1090"/>
    <x v="24"/>
    <s v="Bob"/>
    <s v="East"/>
    <x v="691"/>
    <x v="21"/>
    <x v="2"/>
    <n v="60.28"/>
    <n v="260.73"/>
    <s v="Returning"/>
    <n v="0.17"/>
    <x v="0"/>
    <x v="0"/>
    <s v="East-Bob"/>
  </r>
  <r>
    <n v="1019"/>
    <x v="89"/>
    <s v="David"/>
    <s v="East"/>
    <x v="692"/>
    <x v="43"/>
    <x v="2"/>
    <n v="1340.51"/>
    <n v="1567.92"/>
    <s v="New"/>
    <n v="0.28999999999999998"/>
    <x v="0"/>
    <x v="0"/>
    <s v="East-David"/>
  </r>
  <r>
    <n v="1039"/>
    <x v="137"/>
    <s v="Alice"/>
    <s v="East"/>
    <x v="693"/>
    <x v="38"/>
    <x v="2"/>
    <n v="2615.48"/>
    <n v="3062.22"/>
    <s v="New"/>
    <n v="0.19"/>
    <x v="1"/>
    <x v="1"/>
    <s v="East-Alice"/>
  </r>
  <r>
    <n v="1067"/>
    <x v="301"/>
    <s v="Alice"/>
    <s v="West"/>
    <x v="694"/>
    <x v="30"/>
    <x v="0"/>
    <n v="3624.97"/>
    <n v="3836.52"/>
    <s v="New"/>
    <n v="0.08"/>
    <x v="0"/>
    <x v="0"/>
    <s v="West-Alice"/>
  </r>
  <r>
    <n v="1045"/>
    <x v="204"/>
    <s v="Bob"/>
    <s v="North"/>
    <x v="695"/>
    <x v="39"/>
    <x v="3"/>
    <n v="912.08"/>
    <n v="993.24"/>
    <s v="Returning"/>
    <n v="0.09"/>
    <x v="2"/>
    <x v="0"/>
    <s v="North-Bob"/>
  </r>
  <r>
    <n v="1013"/>
    <x v="302"/>
    <s v="Eve"/>
    <s v="East"/>
    <x v="696"/>
    <x v="17"/>
    <x v="1"/>
    <n v="2757.06"/>
    <n v="3023.97"/>
    <s v="Returning"/>
    <n v="0.21"/>
    <x v="0"/>
    <x v="0"/>
    <s v="East-Eve"/>
  </r>
  <r>
    <n v="1092"/>
    <x v="32"/>
    <s v="Alice"/>
    <s v="South"/>
    <x v="697"/>
    <x v="28"/>
    <x v="2"/>
    <n v="3586.58"/>
    <n v="4068.43"/>
    <s v="New"/>
    <n v="0.22"/>
    <x v="2"/>
    <x v="0"/>
    <s v="South-Alice"/>
  </r>
  <r>
    <n v="1058"/>
    <x v="266"/>
    <s v="David"/>
    <s v="North"/>
    <x v="698"/>
    <x v="39"/>
    <x v="2"/>
    <n v="2250.91"/>
    <n v="2558.6799999999998"/>
    <s v="New"/>
    <n v="0.09"/>
    <x v="2"/>
    <x v="1"/>
    <s v="North-David"/>
  </r>
  <r>
    <n v="1020"/>
    <x v="32"/>
    <s v="Charlie"/>
    <s v="East"/>
    <x v="699"/>
    <x v="6"/>
    <x v="3"/>
    <n v="184.05"/>
    <n v="675.91"/>
    <s v="Returning"/>
    <n v="0.1"/>
    <x v="0"/>
    <x v="1"/>
    <s v="East-Charlie"/>
  </r>
  <r>
    <n v="1092"/>
    <x v="171"/>
    <s v="Charlie"/>
    <s v="North"/>
    <x v="700"/>
    <x v="13"/>
    <x v="2"/>
    <n v="2273.88"/>
    <n v="2696.02"/>
    <s v="New"/>
    <n v="0.3"/>
    <x v="0"/>
    <x v="0"/>
    <s v="North-Charlie"/>
  </r>
  <r>
    <n v="1072"/>
    <x v="104"/>
    <s v="Charlie"/>
    <s v="South"/>
    <x v="701"/>
    <x v="26"/>
    <x v="1"/>
    <n v="1517.4"/>
    <n v="1545.02"/>
    <s v="New"/>
    <n v="0.03"/>
    <x v="1"/>
    <x v="1"/>
    <s v="South-Charlie"/>
  </r>
  <r>
    <n v="1061"/>
    <x v="15"/>
    <s v="Eve"/>
    <s v="East"/>
    <x v="702"/>
    <x v="35"/>
    <x v="0"/>
    <n v="4651.7700000000004"/>
    <n v="4984.3900000000003"/>
    <s v="Returning"/>
    <n v="0.12"/>
    <x v="0"/>
    <x v="1"/>
    <s v="East-Eve"/>
  </r>
  <r>
    <n v="1039"/>
    <x v="291"/>
    <s v="Bob"/>
    <s v="South"/>
    <x v="703"/>
    <x v="40"/>
    <x v="2"/>
    <n v="666.84"/>
    <n v="817.36"/>
    <s v="Returning"/>
    <n v="0.02"/>
    <x v="0"/>
    <x v="1"/>
    <s v="South-Bob"/>
  </r>
  <r>
    <n v="1001"/>
    <x v="133"/>
    <s v="David"/>
    <s v="West"/>
    <x v="704"/>
    <x v="46"/>
    <x v="1"/>
    <n v="3279.76"/>
    <n v="3563.97"/>
    <s v="Returning"/>
    <n v="0.25"/>
    <x v="0"/>
    <x v="1"/>
    <s v="West-David"/>
  </r>
  <r>
    <n v="1003"/>
    <x v="216"/>
    <s v="Eve"/>
    <s v="East"/>
    <x v="705"/>
    <x v="3"/>
    <x v="2"/>
    <n v="310.95999999999998"/>
    <n v="457.84"/>
    <s v="New"/>
    <n v="0.03"/>
    <x v="2"/>
    <x v="0"/>
    <s v="East-Eve"/>
  </r>
  <r>
    <n v="1077"/>
    <x v="303"/>
    <s v="David"/>
    <s v="East"/>
    <x v="706"/>
    <x v="38"/>
    <x v="3"/>
    <n v="2258.54"/>
    <n v="2439.4899999999998"/>
    <s v="Returning"/>
    <n v="0.2"/>
    <x v="2"/>
    <x v="1"/>
    <s v="East-David"/>
  </r>
  <r>
    <n v="1092"/>
    <x v="74"/>
    <s v="David"/>
    <s v="East"/>
    <x v="707"/>
    <x v="9"/>
    <x v="2"/>
    <n v="2792.2"/>
    <n v="3254.5499999999902"/>
    <s v="New"/>
    <n v="0.02"/>
    <x v="2"/>
    <x v="1"/>
    <s v="East-David"/>
  </r>
  <r>
    <n v="1062"/>
    <x v="154"/>
    <s v="Bob"/>
    <s v="East"/>
    <x v="708"/>
    <x v="15"/>
    <x v="2"/>
    <n v="1524.88"/>
    <n v="1636.14"/>
    <s v="New"/>
    <n v="0.2"/>
    <x v="1"/>
    <x v="0"/>
    <s v="East-Bob"/>
  </r>
  <r>
    <n v="1063"/>
    <x v="111"/>
    <s v="Charlie"/>
    <s v="West"/>
    <x v="709"/>
    <x v="7"/>
    <x v="0"/>
    <n v="2302.62"/>
    <n v="2740.93"/>
    <s v="Returning"/>
    <n v="0.25"/>
    <x v="1"/>
    <x v="0"/>
    <s v="West-Charlie"/>
  </r>
  <r>
    <n v="1025"/>
    <x v="229"/>
    <s v="Bob"/>
    <s v="East"/>
    <x v="710"/>
    <x v="28"/>
    <x v="3"/>
    <n v="859.59"/>
    <n v="884.51"/>
    <s v="New"/>
    <n v="0.12"/>
    <x v="1"/>
    <x v="0"/>
    <s v="East-Bob"/>
  </r>
  <r>
    <n v="1056"/>
    <x v="229"/>
    <s v="Eve"/>
    <s v="North"/>
    <x v="711"/>
    <x v="35"/>
    <x v="3"/>
    <n v="1555.41"/>
    <n v="1609.94"/>
    <s v="Returning"/>
    <n v="0.16"/>
    <x v="2"/>
    <x v="0"/>
    <s v="North-Eve"/>
  </r>
  <r>
    <n v="1033"/>
    <x v="304"/>
    <s v="Eve"/>
    <s v="East"/>
    <x v="712"/>
    <x v="0"/>
    <x v="0"/>
    <n v="3124.48"/>
    <n v="3553.27"/>
    <s v="Returning"/>
    <n v="0.12"/>
    <x v="0"/>
    <x v="1"/>
    <s v="East-Eve"/>
  </r>
  <r>
    <n v="1038"/>
    <x v="305"/>
    <s v="Eve"/>
    <s v="West"/>
    <x v="713"/>
    <x v="38"/>
    <x v="2"/>
    <n v="1543.91"/>
    <n v="1862.88"/>
    <s v="New"/>
    <n v="0.09"/>
    <x v="1"/>
    <x v="0"/>
    <s v="West-Eve"/>
  </r>
  <r>
    <n v="1006"/>
    <x v="278"/>
    <s v="Bob"/>
    <s v="East"/>
    <x v="714"/>
    <x v="28"/>
    <x v="1"/>
    <n v="4503.7299999999996"/>
    <n v="4879.8799999999901"/>
    <s v="New"/>
    <n v="0.24"/>
    <x v="1"/>
    <x v="1"/>
    <s v="East-Bob"/>
  </r>
  <r>
    <n v="1058"/>
    <x v="147"/>
    <s v="David"/>
    <s v="North"/>
    <x v="715"/>
    <x v="24"/>
    <x v="3"/>
    <n v="3160.61"/>
    <n v="3273.22"/>
    <s v="Returning"/>
    <n v="0.08"/>
    <x v="2"/>
    <x v="1"/>
    <s v="North-David"/>
  </r>
  <r>
    <n v="1044"/>
    <x v="306"/>
    <s v="David"/>
    <s v="West"/>
    <x v="716"/>
    <x v="26"/>
    <x v="3"/>
    <n v="2221.31"/>
    <n v="2494.48"/>
    <s v="Returning"/>
    <n v="0.22"/>
    <x v="1"/>
    <x v="0"/>
    <s v="West-David"/>
  </r>
  <r>
    <n v="1045"/>
    <x v="307"/>
    <s v="Alice"/>
    <s v="West"/>
    <x v="717"/>
    <x v="33"/>
    <x v="2"/>
    <n v="241.85"/>
    <n v="613.09"/>
    <s v="Returning"/>
    <n v="0.06"/>
    <x v="0"/>
    <x v="0"/>
    <s v="West-Alice"/>
  </r>
  <r>
    <n v="1032"/>
    <x v="253"/>
    <s v="Eve"/>
    <s v="North"/>
    <x v="718"/>
    <x v="32"/>
    <x v="2"/>
    <n v="2522.7600000000002"/>
    <n v="2840.14"/>
    <s v="Returning"/>
    <n v="7.0000000000000007E-2"/>
    <x v="2"/>
    <x v="1"/>
    <s v="North-Eve"/>
  </r>
  <r>
    <n v="1045"/>
    <x v="277"/>
    <s v="David"/>
    <s v="North"/>
    <x v="719"/>
    <x v="43"/>
    <x v="3"/>
    <n v="3835.64"/>
    <n v="4076.77"/>
    <s v="Returning"/>
    <n v="0.1"/>
    <x v="2"/>
    <x v="1"/>
    <s v="North-David"/>
  </r>
  <r>
    <n v="1061"/>
    <x v="64"/>
    <s v="Alice"/>
    <s v="North"/>
    <x v="720"/>
    <x v="27"/>
    <x v="2"/>
    <n v="1364.51"/>
    <n v="1844.8"/>
    <s v="Returning"/>
    <n v="0.18"/>
    <x v="0"/>
    <x v="0"/>
    <s v="North-Alice"/>
  </r>
  <r>
    <n v="1047"/>
    <x v="308"/>
    <s v="David"/>
    <s v="North"/>
    <x v="721"/>
    <x v="43"/>
    <x v="1"/>
    <n v="4043.53"/>
    <n v="4384.8500000000004"/>
    <s v="New"/>
    <n v="0.14000000000000001"/>
    <x v="0"/>
    <x v="0"/>
    <s v="North-David"/>
  </r>
  <r>
    <n v="1021"/>
    <x v="309"/>
    <s v="Eve"/>
    <s v="North"/>
    <x v="722"/>
    <x v="33"/>
    <x v="3"/>
    <n v="1296.44"/>
    <n v="1751.24"/>
    <s v="New"/>
    <n v="0.22"/>
    <x v="0"/>
    <x v="0"/>
    <s v="North-Eve"/>
  </r>
  <r>
    <n v="1080"/>
    <x v="217"/>
    <s v="Charlie"/>
    <s v="West"/>
    <x v="723"/>
    <x v="28"/>
    <x v="1"/>
    <n v="4127.54"/>
    <n v="4495.13"/>
    <s v="New"/>
    <n v="0.06"/>
    <x v="1"/>
    <x v="1"/>
    <s v="West-Charlie"/>
  </r>
  <r>
    <n v="1085"/>
    <x v="212"/>
    <s v="Eve"/>
    <s v="West"/>
    <x v="724"/>
    <x v="25"/>
    <x v="1"/>
    <n v="472.08"/>
    <n v="842.46"/>
    <s v="New"/>
    <n v="0"/>
    <x v="0"/>
    <x v="1"/>
    <s v="West-Eve"/>
  </r>
  <r>
    <n v="1075"/>
    <x v="48"/>
    <s v="Bob"/>
    <s v="East"/>
    <x v="725"/>
    <x v="43"/>
    <x v="2"/>
    <n v="4337.6099999999997"/>
    <n v="4386.82"/>
    <s v="Returning"/>
    <n v="0.23"/>
    <x v="2"/>
    <x v="0"/>
    <s v="East-Bob"/>
  </r>
  <r>
    <n v="1036"/>
    <x v="236"/>
    <s v="David"/>
    <s v="East"/>
    <x v="726"/>
    <x v="44"/>
    <x v="1"/>
    <n v="2520.9699999999998"/>
    <n v="2707.1099999999901"/>
    <s v="New"/>
    <n v="0.25"/>
    <x v="0"/>
    <x v="1"/>
    <s v="East-David"/>
  </r>
  <r>
    <n v="1099"/>
    <x v="306"/>
    <s v="David"/>
    <s v="South"/>
    <x v="727"/>
    <x v="5"/>
    <x v="2"/>
    <n v="1517.86"/>
    <n v="1948.46"/>
    <s v="New"/>
    <n v="0.02"/>
    <x v="2"/>
    <x v="0"/>
    <s v="South-David"/>
  </r>
  <r>
    <n v="1019"/>
    <x v="310"/>
    <s v="Bob"/>
    <s v="East"/>
    <x v="728"/>
    <x v="19"/>
    <x v="0"/>
    <n v="1362.31"/>
    <n v="1486.29"/>
    <s v="Returning"/>
    <n v="0.18"/>
    <x v="2"/>
    <x v="1"/>
    <s v="East-Bob"/>
  </r>
  <r>
    <n v="1020"/>
    <x v="207"/>
    <s v="Bob"/>
    <s v="East"/>
    <x v="729"/>
    <x v="27"/>
    <x v="2"/>
    <n v="2188.4499999999998"/>
    <n v="2255.0499999999902"/>
    <s v="New"/>
    <n v="0.11"/>
    <x v="1"/>
    <x v="1"/>
    <s v="East-Bob"/>
  </r>
  <r>
    <n v="1057"/>
    <x v="31"/>
    <s v="Charlie"/>
    <s v="North"/>
    <x v="730"/>
    <x v="43"/>
    <x v="1"/>
    <n v="4995.3"/>
    <n v="5165.09"/>
    <s v="Returning"/>
    <n v="0.24"/>
    <x v="0"/>
    <x v="0"/>
    <s v="North-Charlie"/>
  </r>
  <r>
    <n v="1018"/>
    <x v="112"/>
    <s v="David"/>
    <s v="North"/>
    <x v="731"/>
    <x v="46"/>
    <x v="0"/>
    <n v="1140.6199999999999"/>
    <n v="1258.6299999999901"/>
    <s v="Returning"/>
    <n v="0.26"/>
    <x v="1"/>
    <x v="0"/>
    <s v="North-David"/>
  </r>
  <r>
    <n v="1047"/>
    <x v="294"/>
    <s v="David"/>
    <s v="East"/>
    <x v="732"/>
    <x v="0"/>
    <x v="2"/>
    <n v="560.91999999999996"/>
    <n v="1024.31"/>
    <s v="Returning"/>
    <n v="0.26"/>
    <x v="0"/>
    <x v="0"/>
    <s v="East-David"/>
  </r>
  <r>
    <n v="1049"/>
    <x v="147"/>
    <s v="Charlie"/>
    <s v="South"/>
    <x v="733"/>
    <x v="34"/>
    <x v="1"/>
    <n v="2945.92"/>
    <n v="3381.22"/>
    <s v="Returning"/>
    <n v="0.23"/>
    <x v="0"/>
    <x v="1"/>
    <s v="South-Charlie"/>
  </r>
  <r>
    <n v="1014"/>
    <x v="189"/>
    <s v="Alice"/>
    <s v="North"/>
    <x v="734"/>
    <x v="45"/>
    <x v="3"/>
    <n v="2468.29"/>
    <n v="2723.13"/>
    <s v="Returning"/>
    <n v="0.08"/>
    <x v="0"/>
    <x v="1"/>
    <s v="North-Alice"/>
  </r>
  <r>
    <n v="1015"/>
    <x v="118"/>
    <s v="Charlie"/>
    <s v="East"/>
    <x v="735"/>
    <x v="18"/>
    <x v="3"/>
    <n v="2644.77"/>
    <n v="2684.83"/>
    <s v="New"/>
    <n v="0.24"/>
    <x v="0"/>
    <x v="0"/>
    <s v="East-Charlie"/>
  </r>
  <r>
    <n v="1031"/>
    <x v="218"/>
    <s v="Eve"/>
    <s v="East"/>
    <x v="736"/>
    <x v="5"/>
    <x v="2"/>
    <n v="3351.33"/>
    <n v="3711.47"/>
    <s v="New"/>
    <n v="0.16"/>
    <x v="0"/>
    <x v="1"/>
    <s v="East-Eve"/>
  </r>
  <r>
    <n v="1001"/>
    <x v="64"/>
    <s v="David"/>
    <s v="West"/>
    <x v="737"/>
    <x v="27"/>
    <x v="2"/>
    <n v="1372.36"/>
    <n v="1687.83"/>
    <s v="New"/>
    <n v="0.02"/>
    <x v="2"/>
    <x v="0"/>
    <s v="West-David"/>
  </r>
  <r>
    <n v="1054"/>
    <x v="311"/>
    <s v="Bob"/>
    <s v="South"/>
    <x v="738"/>
    <x v="25"/>
    <x v="3"/>
    <n v="4557.79"/>
    <n v="5043.3599999999997"/>
    <s v="Returning"/>
    <n v="0.14000000000000001"/>
    <x v="2"/>
    <x v="1"/>
    <s v="South-Bob"/>
  </r>
  <r>
    <n v="1003"/>
    <x v="312"/>
    <s v="Eve"/>
    <s v="West"/>
    <x v="739"/>
    <x v="47"/>
    <x v="1"/>
    <n v="2206.58"/>
    <n v="2490.4699999999998"/>
    <s v="New"/>
    <n v="0.28000000000000003"/>
    <x v="0"/>
    <x v="0"/>
    <s v="West-Eve"/>
  </r>
  <r>
    <n v="1016"/>
    <x v="313"/>
    <s v="David"/>
    <s v="South"/>
    <x v="740"/>
    <x v="41"/>
    <x v="1"/>
    <n v="688.98"/>
    <n v="863.81"/>
    <s v="New"/>
    <n v="0.27"/>
    <x v="2"/>
    <x v="1"/>
    <s v="South-David"/>
  </r>
  <r>
    <n v="1087"/>
    <x v="267"/>
    <s v="Charlie"/>
    <s v="North"/>
    <x v="741"/>
    <x v="9"/>
    <x v="1"/>
    <n v="3724.38"/>
    <n v="3988.7"/>
    <s v="New"/>
    <n v="0.03"/>
    <x v="1"/>
    <x v="1"/>
    <s v="North-Charlie"/>
  </r>
  <r>
    <n v="1057"/>
    <x v="105"/>
    <s v="Eve"/>
    <s v="South"/>
    <x v="742"/>
    <x v="11"/>
    <x v="2"/>
    <n v="3233.37"/>
    <n v="3723.21"/>
    <s v="New"/>
    <n v="0.22"/>
    <x v="1"/>
    <x v="1"/>
    <s v="South-Eve"/>
  </r>
  <r>
    <n v="1075"/>
    <x v="185"/>
    <s v="David"/>
    <s v="East"/>
    <x v="743"/>
    <x v="28"/>
    <x v="0"/>
    <n v="1612.93"/>
    <n v="1964.15"/>
    <s v="Returning"/>
    <n v="0.24"/>
    <x v="1"/>
    <x v="1"/>
    <s v="East-David"/>
  </r>
  <r>
    <n v="1012"/>
    <x v="73"/>
    <s v="Alice"/>
    <s v="East"/>
    <x v="744"/>
    <x v="3"/>
    <x v="0"/>
    <n v="3126.52"/>
    <n v="3465.79"/>
    <s v="New"/>
    <n v="0.08"/>
    <x v="0"/>
    <x v="0"/>
    <s v="East-Alice"/>
  </r>
  <r>
    <n v="1074"/>
    <x v="248"/>
    <s v="Alice"/>
    <s v="South"/>
    <x v="745"/>
    <x v="17"/>
    <x v="0"/>
    <n v="1138.32"/>
    <n v="1266.25"/>
    <s v="Returning"/>
    <n v="0.14000000000000001"/>
    <x v="0"/>
    <x v="1"/>
    <s v="South-Alice"/>
  </r>
  <r>
    <n v="1096"/>
    <x v="309"/>
    <s v="Bob"/>
    <s v="South"/>
    <x v="746"/>
    <x v="28"/>
    <x v="0"/>
    <n v="2251.9499999999998"/>
    <n v="2626.3199999999902"/>
    <s v="Returning"/>
    <n v="0.21"/>
    <x v="2"/>
    <x v="0"/>
    <s v="South-Bob"/>
  </r>
  <r>
    <n v="1016"/>
    <x v="55"/>
    <s v="David"/>
    <s v="South"/>
    <x v="747"/>
    <x v="32"/>
    <x v="0"/>
    <n v="4502.09"/>
    <n v="4879.72"/>
    <s v="New"/>
    <n v="0.13"/>
    <x v="2"/>
    <x v="0"/>
    <s v="South-David"/>
  </r>
  <r>
    <n v="1072"/>
    <x v="314"/>
    <s v="Alice"/>
    <s v="West"/>
    <x v="748"/>
    <x v="26"/>
    <x v="2"/>
    <n v="710.99"/>
    <n v="876.46"/>
    <s v="Returning"/>
    <n v="0.03"/>
    <x v="2"/>
    <x v="0"/>
    <s v="West-Alice"/>
  </r>
  <r>
    <n v="1076"/>
    <x v="172"/>
    <s v="Charlie"/>
    <s v="South"/>
    <x v="749"/>
    <x v="25"/>
    <x v="2"/>
    <n v="1964.15"/>
    <n v="2211.17"/>
    <s v="Returning"/>
    <n v="0.21"/>
    <x v="1"/>
    <x v="0"/>
    <s v="South-Charlie"/>
  </r>
  <r>
    <n v="1024"/>
    <x v="143"/>
    <s v="David"/>
    <s v="North"/>
    <x v="750"/>
    <x v="1"/>
    <x v="0"/>
    <n v="4114.66"/>
    <n v="4269.0199999999904"/>
    <s v="Returning"/>
    <n v="0.27"/>
    <x v="1"/>
    <x v="1"/>
    <s v="North-David"/>
  </r>
  <r>
    <n v="1028"/>
    <x v="34"/>
    <s v="Charlie"/>
    <s v="West"/>
    <x v="751"/>
    <x v="27"/>
    <x v="2"/>
    <n v="4848.9799999999996"/>
    <n v="4985.75"/>
    <s v="Returning"/>
    <n v="0.2"/>
    <x v="1"/>
    <x v="0"/>
    <s v="West-Charlie"/>
  </r>
  <r>
    <n v="1008"/>
    <x v="266"/>
    <s v="Charlie"/>
    <s v="West"/>
    <x v="752"/>
    <x v="18"/>
    <x v="2"/>
    <n v="2296.9299999999998"/>
    <n v="2319.62"/>
    <s v="Returning"/>
    <n v="0.23"/>
    <x v="1"/>
    <x v="1"/>
    <s v="West-Charlie"/>
  </r>
  <r>
    <n v="1092"/>
    <x v="217"/>
    <s v="Alice"/>
    <s v="South"/>
    <x v="753"/>
    <x v="28"/>
    <x v="0"/>
    <n v="2559.65"/>
    <n v="2709.4"/>
    <s v="Returning"/>
    <n v="0.11"/>
    <x v="2"/>
    <x v="1"/>
    <s v="South-Alice"/>
  </r>
  <r>
    <n v="1036"/>
    <x v="176"/>
    <s v="David"/>
    <s v="North"/>
    <x v="754"/>
    <x v="48"/>
    <x v="1"/>
    <n v="2882.25"/>
    <n v="3163.7"/>
    <s v="Returning"/>
    <n v="0.05"/>
    <x v="0"/>
    <x v="1"/>
    <s v="North-David"/>
  </r>
  <r>
    <n v="1090"/>
    <x v="13"/>
    <s v="Eve"/>
    <s v="West"/>
    <x v="755"/>
    <x v="7"/>
    <x v="2"/>
    <n v="4665.12"/>
    <n v="4675.8999999999996"/>
    <s v="New"/>
    <n v="0.19"/>
    <x v="0"/>
    <x v="1"/>
    <s v="West-Eve"/>
  </r>
  <r>
    <n v="1008"/>
    <x v="315"/>
    <s v="Alice"/>
    <s v="East"/>
    <x v="756"/>
    <x v="5"/>
    <x v="1"/>
    <n v="4298.12"/>
    <n v="4446.8999999999996"/>
    <s v="New"/>
    <n v="0.1"/>
    <x v="1"/>
    <x v="0"/>
    <s v="East-Alice"/>
  </r>
  <r>
    <n v="1058"/>
    <x v="49"/>
    <s v="Alice"/>
    <s v="West"/>
    <x v="757"/>
    <x v="13"/>
    <x v="2"/>
    <n v="894.48"/>
    <n v="1336.37"/>
    <s v="Returning"/>
    <n v="0.26"/>
    <x v="0"/>
    <x v="1"/>
    <s v="West-Alice"/>
  </r>
  <r>
    <n v="1060"/>
    <x v="316"/>
    <s v="David"/>
    <s v="South"/>
    <x v="758"/>
    <x v="16"/>
    <x v="2"/>
    <n v="2211.9499999999998"/>
    <n v="2512.8399999999901"/>
    <s v="Returning"/>
    <n v="0.04"/>
    <x v="0"/>
    <x v="0"/>
    <s v="South-David"/>
  </r>
  <r>
    <n v="1050"/>
    <x v="314"/>
    <s v="David"/>
    <s v="North"/>
    <x v="759"/>
    <x v="1"/>
    <x v="0"/>
    <n v="2346.8000000000002"/>
    <n v="2654.65"/>
    <s v="New"/>
    <n v="0.13"/>
    <x v="0"/>
    <x v="1"/>
    <s v="North-David"/>
  </r>
  <r>
    <n v="1028"/>
    <x v="185"/>
    <s v="Charlie"/>
    <s v="South"/>
    <x v="760"/>
    <x v="36"/>
    <x v="2"/>
    <n v="3956.03"/>
    <n v="4163.68"/>
    <s v="New"/>
    <n v="0.12"/>
    <x v="1"/>
    <x v="1"/>
    <s v="South-Charlie"/>
  </r>
  <r>
    <n v="1092"/>
    <x v="78"/>
    <s v="David"/>
    <s v="East"/>
    <x v="761"/>
    <x v="20"/>
    <x v="3"/>
    <n v="3034.32"/>
    <n v="3375.79"/>
    <s v="New"/>
    <n v="0.28000000000000003"/>
    <x v="2"/>
    <x v="0"/>
    <s v="East-David"/>
  </r>
  <r>
    <n v="1041"/>
    <x v="88"/>
    <s v="Charlie"/>
    <s v="East"/>
    <x v="762"/>
    <x v="16"/>
    <x v="3"/>
    <n v="3288.39"/>
    <n v="3391.46"/>
    <s v="New"/>
    <n v="0.05"/>
    <x v="2"/>
    <x v="1"/>
    <s v="East-Charlie"/>
  </r>
  <r>
    <n v="1100"/>
    <x v="38"/>
    <s v="Alice"/>
    <s v="East"/>
    <x v="763"/>
    <x v="24"/>
    <x v="0"/>
    <n v="4991.09"/>
    <n v="5402.28"/>
    <s v="Returning"/>
    <n v="0"/>
    <x v="0"/>
    <x v="1"/>
    <s v="East-Alice"/>
  </r>
  <r>
    <n v="1064"/>
    <x v="195"/>
    <s v="Bob"/>
    <s v="South"/>
    <x v="764"/>
    <x v="47"/>
    <x v="1"/>
    <n v="421.05"/>
    <n v="488.23"/>
    <s v="Returning"/>
    <n v="7.0000000000000007E-2"/>
    <x v="2"/>
    <x v="1"/>
    <s v="South-Bob"/>
  </r>
  <r>
    <n v="1027"/>
    <x v="299"/>
    <s v="Eve"/>
    <s v="West"/>
    <x v="765"/>
    <x v="27"/>
    <x v="1"/>
    <n v="1153.9000000000001"/>
    <n v="1485.34"/>
    <s v="New"/>
    <n v="0.25"/>
    <x v="2"/>
    <x v="1"/>
    <s v="West-Eve"/>
  </r>
  <r>
    <n v="1063"/>
    <x v="235"/>
    <s v="Alice"/>
    <s v="South"/>
    <x v="766"/>
    <x v="30"/>
    <x v="1"/>
    <n v="2069.08"/>
    <n v="2246.2399999999998"/>
    <s v="New"/>
    <n v="0.06"/>
    <x v="1"/>
    <x v="1"/>
    <s v="South-Alice"/>
  </r>
  <r>
    <n v="1017"/>
    <x v="125"/>
    <s v="David"/>
    <s v="North"/>
    <x v="767"/>
    <x v="18"/>
    <x v="3"/>
    <n v="1771.52"/>
    <n v="2147.8000000000002"/>
    <s v="New"/>
    <n v="7.0000000000000007E-2"/>
    <x v="1"/>
    <x v="0"/>
    <s v="North-David"/>
  </r>
  <r>
    <n v="1073"/>
    <x v="317"/>
    <s v="Eve"/>
    <s v="West"/>
    <x v="768"/>
    <x v="11"/>
    <x v="1"/>
    <n v="157.15"/>
    <n v="436.53"/>
    <s v="New"/>
    <n v="0.04"/>
    <x v="0"/>
    <x v="1"/>
    <s v="West-Eve"/>
  </r>
  <r>
    <n v="1033"/>
    <x v="318"/>
    <s v="Bob"/>
    <s v="East"/>
    <x v="769"/>
    <x v="28"/>
    <x v="1"/>
    <n v="504.3"/>
    <n v="735.95"/>
    <s v="Returning"/>
    <n v="0.21"/>
    <x v="0"/>
    <x v="1"/>
    <s v="East-Bob"/>
  </r>
  <r>
    <n v="1084"/>
    <x v="50"/>
    <s v="Bob"/>
    <s v="South"/>
    <x v="770"/>
    <x v="13"/>
    <x v="0"/>
    <n v="3420.72"/>
    <n v="3513.74"/>
    <s v="New"/>
    <n v="0.02"/>
    <x v="0"/>
    <x v="0"/>
    <s v="South-Bob"/>
  </r>
  <r>
    <n v="1077"/>
    <x v="244"/>
    <s v="Charlie"/>
    <s v="East"/>
    <x v="771"/>
    <x v="8"/>
    <x v="1"/>
    <n v="4402.66"/>
    <n v="4724.7"/>
    <s v="New"/>
    <n v="0.1"/>
    <x v="1"/>
    <x v="1"/>
    <s v="East-Charlie"/>
  </r>
  <r>
    <n v="1092"/>
    <x v="319"/>
    <s v="Eve"/>
    <s v="East"/>
    <x v="772"/>
    <x v="19"/>
    <x v="3"/>
    <n v="2595.42"/>
    <n v="3083.06"/>
    <s v="New"/>
    <n v="0.08"/>
    <x v="2"/>
    <x v="0"/>
    <s v="East-Eve"/>
  </r>
  <r>
    <n v="1029"/>
    <x v="172"/>
    <s v="Charlie"/>
    <s v="North"/>
    <x v="773"/>
    <x v="17"/>
    <x v="3"/>
    <n v="2719"/>
    <n v="3133.55"/>
    <s v="Returning"/>
    <n v="0.17"/>
    <x v="1"/>
    <x v="1"/>
    <s v="North-Charlie"/>
  </r>
  <r>
    <n v="1013"/>
    <x v="267"/>
    <s v="Alice"/>
    <s v="West"/>
    <x v="774"/>
    <x v="22"/>
    <x v="3"/>
    <n v="1312.71"/>
    <n v="1352.11"/>
    <s v="Returning"/>
    <n v="0.22"/>
    <x v="1"/>
    <x v="1"/>
    <s v="West-Alice"/>
  </r>
  <r>
    <n v="1046"/>
    <x v="251"/>
    <s v="Eve"/>
    <s v="North"/>
    <x v="775"/>
    <x v="1"/>
    <x v="0"/>
    <n v="3850.99"/>
    <n v="4045.3399999999901"/>
    <s v="Returning"/>
    <n v="0.16"/>
    <x v="2"/>
    <x v="0"/>
    <s v="North-Eve"/>
  </r>
  <r>
    <n v="1035"/>
    <x v="320"/>
    <s v="Alice"/>
    <s v="North"/>
    <x v="776"/>
    <x v="40"/>
    <x v="0"/>
    <n v="3771.38"/>
    <n v="4234.92"/>
    <s v="New"/>
    <n v="0.28000000000000003"/>
    <x v="2"/>
    <x v="1"/>
    <s v="North-Alice"/>
  </r>
  <r>
    <n v="1006"/>
    <x v="211"/>
    <s v="Charlie"/>
    <s v="North"/>
    <x v="777"/>
    <x v="12"/>
    <x v="2"/>
    <n v="2962.41"/>
    <n v="3218.8999999999901"/>
    <s v="New"/>
    <n v="0.28999999999999998"/>
    <x v="0"/>
    <x v="1"/>
    <s v="North-Charlie"/>
  </r>
  <r>
    <n v="1082"/>
    <x v="150"/>
    <s v="Eve"/>
    <s v="East"/>
    <x v="778"/>
    <x v="7"/>
    <x v="1"/>
    <n v="1102.69"/>
    <n v="1437.12"/>
    <s v="New"/>
    <n v="0.11"/>
    <x v="2"/>
    <x v="0"/>
    <s v="East-Eve"/>
  </r>
  <r>
    <n v="1069"/>
    <x v="321"/>
    <s v="Charlie"/>
    <s v="North"/>
    <x v="779"/>
    <x v="18"/>
    <x v="0"/>
    <n v="530.24"/>
    <n v="987.41"/>
    <s v="Returning"/>
    <n v="0.23"/>
    <x v="2"/>
    <x v="0"/>
    <s v="North-Charlie"/>
  </r>
  <r>
    <n v="1047"/>
    <x v="93"/>
    <s v="Eve"/>
    <s v="North"/>
    <x v="780"/>
    <x v="5"/>
    <x v="3"/>
    <n v="367.98"/>
    <n v="806.14"/>
    <s v="Returning"/>
    <n v="0.22"/>
    <x v="2"/>
    <x v="1"/>
    <s v="North-Eve"/>
  </r>
  <r>
    <n v="1025"/>
    <x v="319"/>
    <s v="Charlie"/>
    <s v="West"/>
    <x v="781"/>
    <x v="11"/>
    <x v="3"/>
    <n v="2983.85"/>
    <n v="3239.74"/>
    <s v="New"/>
    <n v="0.27"/>
    <x v="2"/>
    <x v="0"/>
    <s v="West-Charlie"/>
  </r>
  <r>
    <n v="1066"/>
    <x v="193"/>
    <s v="Bob"/>
    <s v="West"/>
    <x v="782"/>
    <x v="4"/>
    <x v="0"/>
    <n v="4133.92"/>
    <n v="4358.37"/>
    <s v="New"/>
    <n v="0.13"/>
    <x v="0"/>
    <x v="1"/>
    <s v="West-Bob"/>
  </r>
  <r>
    <n v="1010"/>
    <x v="178"/>
    <s v="Charlie"/>
    <s v="North"/>
    <x v="783"/>
    <x v="46"/>
    <x v="0"/>
    <n v="4298.74"/>
    <n v="4475.1899999999996"/>
    <s v="Returning"/>
    <n v="0.16"/>
    <x v="0"/>
    <x v="0"/>
    <s v="North-Charlie"/>
  </r>
  <r>
    <n v="1056"/>
    <x v="322"/>
    <s v="Bob"/>
    <s v="West"/>
    <x v="784"/>
    <x v="22"/>
    <x v="0"/>
    <n v="2344.9299999999998"/>
    <n v="2707.25"/>
    <s v="New"/>
    <n v="0.12"/>
    <x v="2"/>
    <x v="1"/>
    <s v="West-Bob"/>
  </r>
  <r>
    <n v="1030"/>
    <x v="254"/>
    <s v="Charlie"/>
    <s v="West"/>
    <x v="785"/>
    <x v="47"/>
    <x v="2"/>
    <n v="3932.14"/>
    <n v="4082.7599999999902"/>
    <s v="New"/>
    <n v="0.26"/>
    <x v="2"/>
    <x v="0"/>
    <s v="West-Charlie"/>
  </r>
  <r>
    <n v="1005"/>
    <x v="175"/>
    <s v="Eve"/>
    <s v="North"/>
    <x v="786"/>
    <x v="14"/>
    <x v="3"/>
    <n v="4737.0600000000004"/>
    <n v="4869.5"/>
    <s v="New"/>
    <n v="7.0000000000000007E-2"/>
    <x v="0"/>
    <x v="0"/>
    <s v="North-Eve"/>
  </r>
  <r>
    <n v="1033"/>
    <x v="257"/>
    <s v="Eve"/>
    <s v="East"/>
    <x v="787"/>
    <x v="6"/>
    <x v="2"/>
    <n v="1412.09"/>
    <n v="1596.6499999999901"/>
    <s v="Returning"/>
    <n v="7.0000000000000007E-2"/>
    <x v="0"/>
    <x v="0"/>
    <s v="East-Eve"/>
  </r>
  <r>
    <n v="1065"/>
    <x v="212"/>
    <s v="Eve"/>
    <s v="North"/>
    <x v="788"/>
    <x v="32"/>
    <x v="2"/>
    <n v="2019.9"/>
    <n v="2116.7399999999998"/>
    <s v="New"/>
    <n v="0.11"/>
    <x v="2"/>
    <x v="0"/>
    <s v="North-Eve"/>
  </r>
  <r>
    <n v="1018"/>
    <x v="157"/>
    <s v="David"/>
    <s v="West"/>
    <x v="789"/>
    <x v="44"/>
    <x v="1"/>
    <n v="4660.82"/>
    <n v="5011.4299999999903"/>
    <s v="New"/>
    <n v="7.0000000000000007E-2"/>
    <x v="1"/>
    <x v="0"/>
    <s v="West-David"/>
  </r>
  <r>
    <n v="1096"/>
    <x v="323"/>
    <s v="Alice"/>
    <s v="East"/>
    <x v="790"/>
    <x v="17"/>
    <x v="3"/>
    <n v="1724.24"/>
    <n v="2036.2"/>
    <s v="New"/>
    <n v="0.17"/>
    <x v="0"/>
    <x v="0"/>
    <s v="East-Alice"/>
  </r>
  <r>
    <n v="1049"/>
    <x v="39"/>
    <s v="Eve"/>
    <s v="South"/>
    <x v="791"/>
    <x v="33"/>
    <x v="3"/>
    <n v="4573.6899999999996"/>
    <n v="4820.2999999999902"/>
    <s v="New"/>
    <n v="0.04"/>
    <x v="0"/>
    <x v="0"/>
    <s v="South-Eve"/>
  </r>
  <r>
    <n v="1011"/>
    <x v="324"/>
    <s v="Bob"/>
    <s v="East"/>
    <x v="792"/>
    <x v="39"/>
    <x v="0"/>
    <n v="4906.17"/>
    <n v="5107.43"/>
    <s v="Returning"/>
    <n v="0.1"/>
    <x v="0"/>
    <x v="0"/>
    <s v="East-Bob"/>
  </r>
  <r>
    <n v="1085"/>
    <x v="325"/>
    <s v="Eve"/>
    <s v="West"/>
    <x v="793"/>
    <x v="27"/>
    <x v="0"/>
    <n v="3325.96"/>
    <n v="3781.4"/>
    <s v="Returning"/>
    <n v="0.27"/>
    <x v="2"/>
    <x v="0"/>
    <s v="West-Eve"/>
  </r>
  <r>
    <n v="1026"/>
    <x v="45"/>
    <s v="David"/>
    <s v="East"/>
    <x v="794"/>
    <x v="47"/>
    <x v="1"/>
    <n v="4093.61"/>
    <n v="4117.88"/>
    <s v="Returning"/>
    <n v="0.12"/>
    <x v="2"/>
    <x v="1"/>
    <s v="East-David"/>
  </r>
  <r>
    <n v="1063"/>
    <x v="11"/>
    <s v="Bob"/>
    <s v="North"/>
    <x v="795"/>
    <x v="30"/>
    <x v="2"/>
    <n v="3760.25"/>
    <n v="4147.1099999999997"/>
    <s v="New"/>
    <n v="0.22"/>
    <x v="0"/>
    <x v="0"/>
    <s v="North-Bob"/>
  </r>
  <r>
    <n v="1089"/>
    <x v="178"/>
    <s v="David"/>
    <s v="South"/>
    <x v="796"/>
    <x v="44"/>
    <x v="0"/>
    <n v="3512.69"/>
    <n v="3964.63"/>
    <s v="Returning"/>
    <n v="0.03"/>
    <x v="2"/>
    <x v="1"/>
    <s v="South-David"/>
  </r>
  <r>
    <n v="1086"/>
    <x v="21"/>
    <s v="Bob"/>
    <s v="South"/>
    <x v="797"/>
    <x v="29"/>
    <x v="0"/>
    <n v="1569.31"/>
    <n v="1798.02"/>
    <s v="New"/>
    <n v="7.0000000000000007E-2"/>
    <x v="2"/>
    <x v="0"/>
    <s v="South-Bob"/>
  </r>
  <r>
    <n v="1059"/>
    <x v="292"/>
    <s v="Charlie"/>
    <s v="South"/>
    <x v="798"/>
    <x v="21"/>
    <x v="3"/>
    <n v="332.62"/>
    <n v="612.46"/>
    <s v="Returning"/>
    <n v="0.24"/>
    <x v="0"/>
    <x v="1"/>
    <s v="South-Charlie"/>
  </r>
  <r>
    <n v="1027"/>
    <x v="118"/>
    <s v="Alice"/>
    <s v="West"/>
    <x v="799"/>
    <x v="46"/>
    <x v="3"/>
    <n v="1748.11"/>
    <n v="2220.9"/>
    <s v="New"/>
    <n v="0.23"/>
    <x v="2"/>
    <x v="1"/>
    <s v="West-Alice"/>
  </r>
  <r>
    <n v="1049"/>
    <x v="326"/>
    <s v="Alice"/>
    <s v="West"/>
    <x v="800"/>
    <x v="16"/>
    <x v="0"/>
    <n v="3351.33"/>
    <n v="3465.35"/>
    <s v="Returning"/>
    <n v="0.12"/>
    <x v="1"/>
    <x v="0"/>
    <s v="West-Alice"/>
  </r>
  <r>
    <n v="1077"/>
    <x v="178"/>
    <s v="David"/>
    <s v="South"/>
    <x v="801"/>
    <x v="18"/>
    <x v="3"/>
    <n v="557.52"/>
    <n v="822.39"/>
    <s v="Returning"/>
    <n v="0.28999999999999998"/>
    <x v="2"/>
    <x v="0"/>
    <s v="South-David"/>
  </r>
  <r>
    <n v="1033"/>
    <x v="121"/>
    <s v="Alice"/>
    <s v="East"/>
    <x v="802"/>
    <x v="5"/>
    <x v="1"/>
    <n v="108.99"/>
    <n v="351.6"/>
    <s v="Returning"/>
    <n v="0.27"/>
    <x v="2"/>
    <x v="1"/>
    <s v="East-Alice"/>
  </r>
  <r>
    <n v="1098"/>
    <x v="37"/>
    <s v="David"/>
    <s v="South"/>
    <x v="803"/>
    <x v="23"/>
    <x v="0"/>
    <n v="741.48"/>
    <n v="878.09"/>
    <s v="New"/>
    <n v="0.28999999999999998"/>
    <x v="0"/>
    <x v="1"/>
    <s v="South-David"/>
  </r>
  <r>
    <n v="1099"/>
    <x v="108"/>
    <s v="David"/>
    <s v="East"/>
    <x v="804"/>
    <x v="3"/>
    <x v="3"/>
    <n v="3592.89"/>
    <n v="4004"/>
    <s v="New"/>
    <n v="0.13"/>
    <x v="0"/>
    <x v="0"/>
    <s v="East-David"/>
  </r>
  <r>
    <n v="1001"/>
    <x v="75"/>
    <s v="David"/>
    <s v="East"/>
    <x v="805"/>
    <x v="20"/>
    <x v="1"/>
    <n v="4865.33"/>
    <n v="5316.13"/>
    <s v="New"/>
    <n v="0.06"/>
    <x v="1"/>
    <x v="0"/>
    <s v="East-David"/>
  </r>
  <r>
    <n v="1021"/>
    <x v="193"/>
    <s v="Alice"/>
    <s v="West"/>
    <x v="806"/>
    <x v="38"/>
    <x v="3"/>
    <n v="4916.17"/>
    <n v="5309.32"/>
    <s v="Returning"/>
    <n v="0.19"/>
    <x v="2"/>
    <x v="0"/>
    <s v="West-Alice"/>
  </r>
  <r>
    <n v="1055"/>
    <x v="76"/>
    <s v="David"/>
    <s v="East"/>
    <x v="807"/>
    <x v="23"/>
    <x v="3"/>
    <n v="2495.1999999999998"/>
    <n v="2600.9299999999998"/>
    <s v="New"/>
    <n v="0.21"/>
    <x v="1"/>
    <x v="1"/>
    <s v="East-David"/>
  </r>
  <r>
    <n v="1006"/>
    <x v="320"/>
    <s v="Alice"/>
    <s v="South"/>
    <x v="808"/>
    <x v="6"/>
    <x v="3"/>
    <n v="4353.29"/>
    <n v="4405.8"/>
    <s v="New"/>
    <n v="0.04"/>
    <x v="1"/>
    <x v="0"/>
    <s v="South-Alice"/>
  </r>
  <r>
    <n v="1092"/>
    <x v="243"/>
    <s v="David"/>
    <s v="West"/>
    <x v="809"/>
    <x v="42"/>
    <x v="0"/>
    <n v="3697.29"/>
    <n v="4003.96"/>
    <s v="New"/>
    <n v="0.24"/>
    <x v="0"/>
    <x v="0"/>
    <s v="West-David"/>
  </r>
  <r>
    <n v="1081"/>
    <x v="222"/>
    <s v="Eve"/>
    <s v="North"/>
    <x v="810"/>
    <x v="25"/>
    <x v="2"/>
    <n v="2530.15"/>
    <n v="2568.13"/>
    <s v="New"/>
    <n v="0.01"/>
    <x v="2"/>
    <x v="0"/>
    <s v="North-Eve"/>
  </r>
  <r>
    <n v="1069"/>
    <x v="181"/>
    <s v="David"/>
    <s v="North"/>
    <x v="811"/>
    <x v="22"/>
    <x v="3"/>
    <n v="2885.16"/>
    <n v="3224.8399999999901"/>
    <s v="New"/>
    <n v="0.14000000000000001"/>
    <x v="0"/>
    <x v="0"/>
    <s v="North-David"/>
  </r>
  <r>
    <n v="1095"/>
    <x v="3"/>
    <s v="Bob"/>
    <s v="West"/>
    <x v="812"/>
    <x v="46"/>
    <x v="1"/>
    <n v="729.27"/>
    <n v="999.18"/>
    <s v="New"/>
    <n v="0.1"/>
    <x v="1"/>
    <x v="0"/>
    <s v="West-Bob"/>
  </r>
  <r>
    <n v="1005"/>
    <x v="154"/>
    <s v="David"/>
    <s v="South"/>
    <x v="813"/>
    <x v="7"/>
    <x v="0"/>
    <n v="4691.42"/>
    <n v="5026.1899999999996"/>
    <s v="Returning"/>
    <n v="0.22"/>
    <x v="1"/>
    <x v="1"/>
    <s v="South-David"/>
  </r>
  <r>
    <n v="1003"/>
    <x v="327"/>
    <s v="Charlie"/>
    <s v="North"/>
    <x v="814"/>
    <x v="45"/>
    <x v="0"/>
    <n v="1792.05"/>
    <n v="2091.23"/>
    <s v="Returning"/>
    <n v="0.09"/>
    <x v="0"/>
    <x v="1"/>
    <s v="North-Charlie"/>
  </r>
  <r>
    <n v="1053"/>
    <x v="131"/>
    <s v="David"/>
    <s v="North"/>
    <x v="815"/>
    <x v="21"/>
    <x v="1"/>
    <n v="2258.44"/>
    <n v="2475.56"/>
    <s v="New"/>
    <n v="0.25"/>
    <x v="0"/>
    <x v="0"/>
    <s v="North-David"/>
  </r>
  <r>
    <n v="1023"/>
    <x v="296"/>
    <s v="Bob"/>
    <s v="East"/>
    <x v="816"/>
    <x v="20"/>
    <x v="3"/>
    <n v="3374.72"/>
    <n v="3483.1499999999901"/>
    <s v="Returning"/>
    <n v="0.18"/>
    <x v="0"/>
    <x v="0"/>
    <s v="East-Bob"/>
  </r>
  <r>
    <n v="1053"/>
    <x v="76"/>
    <s v="Bob"/>
    <s v="East"/>
    <x v="817"/>
    <x v="21"/>
    <x v="2"/>
    <n v="1702.82"/>
    <n v="1862.61"/>
    <s v="Returning"/>
    <n v="0.24"/>
    <x v="0"/>
    <x v="1"/>
    <s v="East-Bob"/>
  </r>
  <r>
    <n v="1037"/>
    <x v="291"/>
    <s v="Alice"/>
    <s v="South"/>
    <x v="818"/>
    <x v="1"/>
    <x v="3"/>
    <n v="1308.58"/>
    <n v="1575.59"/>
    <s v="New"/>
    <n v="0.3"/>
    <x v="0"/>
    <x v="0"/>
    <s v="South-Alice"/>
  </r>
  <r>
    <n v="1074"/>
    <x v="216"/>
    <s v="Eve"/>
    <s v="West"/>
    <x v="819"/>
    <x v="39"/>
    <x v="1"/>
    <n v="3173.69"/>
    <n v="3503.11"/>
    <s v="New"/>
    <n v="0.2"/>
    <x v="1"/>
    <x v="1"/>
    <s v="West-Eve"/>
  </r>
  <r>
    <n v="1074"/>
    <x v="160"/>
    <s v="David"/>
    <s v="South"/>
    <x v="820"/>
    <x v="6"/>
    <x v="0"/>
    <n v="173.67"/>
    <n v="565.62"/>
    <s v="Returning"/>
    <n v="0.3"/>
    <x v="0"/>
    <x v="0"/>
    <s v="South-David"/>
  </r>
  <r>
    <n v="1083"/>
    <x v="325"/>
    <s v="Alice"/>
    <s v="West"/>
    <x v="821"/>
    <x v="46"/>
    <x v="2"/>
    <n v="3617.59"/>
    <n v="4003.5"/>
    <s v="New"/>
    <n v="0.01"/>
    <x v="2"/>
    <x v="1"/>
    <s v="West-Alice"/>
  </r>
  <r>
    <n v="1017"/>
    <x v="120"/>
    <s v="Eve"/>
    <s v="North"/>
    <x v="822"/>
    <x v="32"/>
    <x v="0"/>
    <n v="2594.42"/>
    <n v="3081.04"/>
    <s v="Returning"/>
    <n v="0.1"/>
    <x v="1"/>
    <x v="1"/>
    <s v="North-Eve"/>
  </r>
  <r>
    <n v="1085"/>
    <x v="201"/>
    <s v="David"/>
    <s v="East"/>
    <x v="823"/>
    <x v="29"/>
    <x v="1"/>
    <n v="3048.48"/>
    <n v="3198.54"/>
    <s v="Returning"/>
    <n v="0.03"/>
    <x v="1"/>
    <x v="0"/>
    <s v="East-David"/>
  </r>
  <r>
    <n v="1078"/>
    <x v="315"/>
    <s v="Charlie"/>
    <s v="South"/>
    <x v="824"/>
    <x v="6"/>
    <x v="3"/>
    <n v="3177.81"/>
    <n v="3222.65"/>
    <s v="Returning"/>
    <n v="0.08"/>
    <x v="2"/>
    <x v="1"/>
    <s v="South-Charlie"/>
  </r>
  <r>
    <n v="1073"/>
    <x v="10"/>
    <s v="David"/>
    <s v="South"/>
    <x v="825"/>
    <x v="10"/>
    <x v="2"/>
    <n v="2658.9"/>
    <n v="2838.27"/>
    <s v="New"/>
    <n v="0.25"/>
    <x v="2"/>
    <x v="0"/>
    <s v="South-David"/>
  </r>
  <r>
    <n v="1001"/>
    <x v="232"/>
    <s v="Bob"/>
    <s v="West"/>
    <x v="826"/>
    <x v="19"/>
    <x v="0"/>
    <n v="2933.54"/>
    <n v="3307.75"/>
    <s v="Returning"/>
    <n v="0.01"/>
    <x v="1"/>
    <x v="1"/>
    <s v="West-Bob"/>
  </r>
  <r>
    <n v="1051"/>
    <x v="227"/>
    <s v="Bob"/>
    <s v="West"/>
    <x v="827"/>
    <x v="45"/>
    <x v="0"/>
    <n v="3434.75"/>
    <n v="3659.42"/>
    <s v="New"/>
    <n v="0.16"/>
    <x v="0"/>
    <x v="0"/>
    <s v="West-Bob"/>
  </r>
  <r>
    <n v="1045"/>
    <x v="267"/>
    <s v="Charlie"/>
    <s v="South"/>
    <x v="828"/>
    <x v="22"/>
    <x v="0"/>
    <n v="3777.94"/>
    <n v="4188.66"/>
    <s v="New"/>
    <n v="0.17"/>
    <x v="1"/>
    <x v="0"/>
    <s v="South-Charlie"/>
  </r>
  <r>
    <n v="1077"/>
    <x v="279"/>
    <s v="Alice"/>
    <s v="West"/>
    <x v="829"/>
    <x v="47"/>
    <x v="3"/>
    <n v="3650.89"/>
    <n v="3930.06"/>
    <s v="New"/>
    <n v="0.17"/>
    <x v="1"/>
    <x v="0"/>
    <s v="West-Alice"/>
  </r>
  <r>
    <n v="1004"/>
    <x v="326"/>
    <s v="Eve"/>
    <s v="South"/>
    <x v="830"/>
    <x v="30"/>
    <x v="2"/>
    <n v="4354.6000000000004"/>
    <n v="4820.2"/>
    <s v="New"/>
    <n v="0.14000000000000001"/>
    <x v="2"/>
    <x v="1"/>
    <s v="South-Eve"/>
  </r>
  <r>
    <n v="1062"/>
    <x v="328"/>
    <s v="David"/>
    <s v="South"/>
    <x v="831"/>
    <x v="16"/>
    <x v="3"/>
    <n v="987.74"/>
    <n v="1462.19"/>
    <s v="New"/>
    <n v="0.24"/>
    <x v="1"/>
    <x v="0"/>
    <s v="South-David"/>
  </r>
  <r>
    <n v="1065"/>
    <x v="243"/>
    <s v="Bob"/>
    <s v="South"/>
    <x v="832"/>
    <x v="26"/>
    <x v="3"/>
    <n v="2035.68"/>
    <n v="2079.64"/>
    <s v="Returning"/>
    <n v="0.04"/>
    <x v="0"/>
    <x v="0"/>
    <s v="South-Bob"/>
  </r>
  <r>
    <n v="1032"/>
    <x v="288"/>
    <s v="Alice"/>
    <s v="North"/>
    <x v="833"/>
    <x v="46"/>
    <x v="3"/>
    <n v="4741.59"/>
    <n v="4975.2299999999996"/>
    <s v="New"/>
    <n v="0.09"/>
    <x v="2"/>
    <x v="0"/>
    <s v="North-Alice"/>
  </r>
  <r>
    <n v="1034"/>
    <x v="88"/>
    <s v="Charlie"/>
    <s v="West"/>
    <x v="834"/>
    <x v="27"/>
    <x v="1"/>
    <n v="2013.12"/>
    <n v="2321.87"/>
    <s v="New"/>
    <n v="0.18"/>
    <x v="1"/>
    <x v="1"/>
    <s v="West-Charlie"/>
  </r>
  <r>
    <n v="1092"/>
    <x v="116"/>
    <s v="Bob"/>
    <s v="East"/>
    <x v="835"/>
    <x v="46"/>
    <x v="1"/>
    <n v="668.11"/>
    <n v="803.49"/>
    <s v="New"/>
    <n v="0.21"/>
    <x v="1"/>
    <x v="0"/>
    <s v="East-Bob"/>
  </r>
  <r>
    <n v="1095"/>
    <x v="329"/>
    <s v="Charlie"/>
    <s v="East"/>
    <x v="836"/>
    <x v="14"/>
    <x v="1"/>
    <n v="2650.95"/>
    <n v="2860.4199999999901"/>
    <s v="New"/>
    <n v="0.12"/>
    <x v="0"/>
    <x v="1"/>
    <s v="East-Charlie"/>
  </r>
  <r>
    <n v="1072"/>
    <x v="117"/>
    <s v="David"/>
    <s v="West"/>
    <x v="837"/>
    <x v="3"/>
    <x v="2"/>
    <n v="591.98"/>
    <n v="934.04"/>
    <s v="New"/>
    <n v="0.26"/>
    <x v="1"/>
    <x v="1"/>
    <s v="West-David"/>
  </r>
  <r>
    <n v="1039"/>
    <x v="203"/>
    <s v="Eve"/>
    <s v="South"/>
    <x v="838"/>
    <x v="41"/>
    <x v="3"/>
    <n v="1054.1199999999999"/>
    <n v="1175.21999999999"/>
    <s v="Returning"/>
    <n v="0.12"/>
    <x v="1"/>
    <x v="1"/>
    <s v="South-Eve"/>
  </r>
  <r>
    <n v="1026"/>
    <x v="324"/>
    <s v="Bob"/>
    <s v="East"/>
    <x v="839"/>
    <x v="12"/>
    <x v="3"/>
    <n v="4991.68"/>
    <n v="5296.65"/>
    <s v="New"/>
    <n v="0.12"/>
    <x v="1"/>
    <x v="0"/>
    <s v="East-Bob"/>
  </r>
  <r>
    <n v="1034"/>
    <x v="243"/>
    <s v="Bob"/>
    <s v="East"/>
    <x v="840"/>
    <x v="34"/>
    <x v="1"/>
    <n v="2729.75"/>
    <n v="3081.5"/>
    <s v="New"/>
    <n v="0.01"/>
    <x v="1"/>
    <x v="0"/>
    <s v="East-Bob"/>
  </r>
  <r>
    <n v="1054"/>
    <x v="330"/>
    <s v="David"/>
    <s v="West"/>
    <x v="841"/>
    <x v="30"/>
    <x v="3"/>
    <n v="1456.09"/>
    <n v="1510.4299999999901"/>
    <s v="Returning"/>
    <n v="0.17"/>
    <x v="0"/>
    <x v="1"/>
    <s v="West-David"/>
  </r>
  <r>
    <n v="1003"/>
    <x v="331"/>
    <s v="Alice"/>
    <s v="East"/>
    <x v="842"/>
    <x v="27"/>
    <x v="3"/>
    <n v="4974.1400000000003"/>
    <n v="5227.93"/>
    <s v="New"/>
    <n v="0.21"/>
    <x v="1"/>
    <x v="0"/>
    <s v="East-Alice"/>
  </r>
  <r>
    <n v="1050"/>
    <x v="272"/>
    <s v="Eve"/>
    <s v="South"/>
    <x v="843"/>
    <x v="8"/>
    <x v="0"/>
    <n v="4834.47"/>
    <n v="4973.38"/>
    <s v="Returning"/>
    <n v="0.03"/>
    <x v="1"/>
    <x v="0"/>
    <s v="South-Eve"/>
  </r>
  <r>
    <n v="1012"/>
    <x v="89"/>
    <s v="Bob"/>
    <s v="West"/>
    <x v="844"/>
    <x v="4"/>
    <x v="3"/>
    <n v="2231.66"/>
    <n v="2596.6099999999901"/>
    <s v="Returning"/>
    <n v="0.09"/>
    <x v="1"/>
    <x v="1"/>
    <s v="West-Bob"/>
  </r>
  <r>
    <n v="1065"/>
    <x v="253"/>
    <s v="Eve"/>
    <s v="South"/>
    <x v="845"/>
    <x v="4"/>
    <x v="0"/>
    <n v="1339"/>
    <n v="1441.88"/>
    <s v="Returning"/>
    <n v="0.23"/>
    <x v="2"/>
    <x v="1"/>
    <s v="South-Eve"/>
  </r>
  <r>
    <n v="1054"/>
    <x v="332"/>
    <s v="Bob"/>
    <s v="East"/>
    <x v="846"/>
    <x v="33"/>
    <x v="3"/>
    <n v="4200.08"/>
    <n v="4647.28"/>
    <s v="Returning"/>
    <n v="0.11"/>
    <x v="0"/>
    <x v="0"/>
    <s v="East-Bob"/>
  </r>
  <r>
    <n v="1005"/>
    <x v="94"/>
    <s v="Eve"/>
    <s v="East"/>
    <x v="847"/>
    <x v="40"/>
    <x v="2"/>
    <n v="3592.32"/>
    <n v="3813.48"/>
    <s v="New"/>
    <n v="7.0000000000000007E-2"/>
    <x v="2"/>
    <x v="1"/>
    <s v="East-Eve"/>
  </r>
  <r>
    <n v="1094"/>
    <x v="248"/>
    <s v="Charlie"/>
    <s v="South"/>
    <x v="848"/>
    <x v="20"/>
    <x v="1"/>
    <n v="3450.36"/>
    <n v="3557.38"/>
    <s v="New"/>
    <n v="0.2"/>
    <x v="2"/>
    <x v="0"/>
    <s v="South-Charlie"/>
  </r>
  <r>
    <n v="1094"/>
    <x v="120"/>
    <s v="Bob"/>
    <s v="North"/>
    <x v="849"/>
    <x v="27"/>
    <x v="0"/>
    <n v="4470.91"/>
    <n v="4695.54"/>
    <s v="Returning"/>
    <n v="0.06"/>
    <x v="0"/>
    <x v="1"/>
    <s v="North-Bob"/>
  </r>
  <r>
    <n v="1057"/>
    <x v="115"/>
    <s v="Eve"/>
    <s v="East"/>
    <x v="850"/>
    <x v="33"/>
    <x v="1"/>
    <n v="3462.61"/>
    <n v="3672.89"/>
    <s v="Returning"/>
    <n v="0.27"/>
    <x v="2"/>
    <x v="0"/>
    <s v="East-Eve"/>
  </r>
  <r>
    <n v="1017"/>
    <x v="195"/>
    <s v="Alice"/>
    <s v="North"/>
    <x v="851"/>
    <x v="8"/>
    <x v="0"/>
    <n v="1454.8"/>
    <n v="1674.97"/>
    <s v="New"/>
    <n v="0.03"/>
    <x v="2"/>
    <x v="0"/>
    <s v="North-Alice"/>
  </r>
  <r>
    <n v="1047"/>
    <x v="312"/>
    <s v="Charlie"/>
    <s v="East"/>
    <x v="852"/>
    <x v="12"/>
    <x v="0"/>
    <n v="3484.62"/>
    <n v="3781.5499999999902"/>
    <s v="Returning"/>
    <n v="0.21"/>
    <x v="2"/>
    <x v="1"/>
    <s v="East-Charlie"/>
  </r>
  <r>
    <n v="1023"/>
    <x v="80"/>
    <s v="Charlie"/>
    <s v="North"/>
    <x v="853"/>
    <x v="29"/>
    <x v="0"/>
    <n v="1563.78"/>
    <n v="1829.1599999999901"/>
    <s v="Returning"/>
    <n v="0.15"/>
    <x v="0"/>
    <x v="0"/>
    <s v="North-Charlie"/>
  </r>
  <r>
    <n v="1079"/>
    <x v="3"/>
    <s v="Alice"/>
    <s v="North"/>
    <x v="854"/>
    <x v="29"/>
    <x v="2"/>
    <n v="3808.23"/>
    <n v="3891.62"/>
    <s v="Returning"/>
    <n v="0.26"/>
    <x v="1"/>
    <x v="0"/>
    <s v="North-Alice"/>
  </r>
  <r>
    <n v="1085"/>
    <x v="283"/>
    <s v="Eve"/>
    <s v="North"/>
    <x v="855"/>
    <x v="31"/>
    <x v="3"/>
    <n v="3117.75"/>
    <n v="3159.88"/>
    <s v="New"/>
    <n v="0.04"/>
    <x v="0"/>
    <x v="1"/>
    <s v="North-Eve"/>
  </r>
  <r>
    <n v="1014"/>
    <x v="132"/>
    <s v="David"/>
    <s v="South"/>
    <x v="856"/>
    <x v="42"/>
    <x v="0"/>
    <n v="433.19"/>
    <n v="800.6"/>
    <s v="Returning"/>
    <n v="0.2"/>
    <x v="0"/>
    <x v="0"/>
    <s v="South-David"/>
  </r>
  <r>
    <n v="1066"/>
    <x v="231"/>
    <s v="Alice"/>
    <s v="North"/>
    <x v="857"/>
    <x v="10"/>
    <x v="2"/>
    <n v="2588.54"/>
    <n v="2872.8"/>
    <s v="New"/>
    <n v="0.17"/>
    <x v="0"/>
    <x v="0"/>
    <s v="North-Alice"/>
  </r>
  <r>
    <n v="1075"/>
    <x v="196"/>
    <s v="Eve"/>
    <s v="North"/>
    <x v="858"/>
    <x v="42"/>
    <x v="0"/>
    <n v="1749.34"/>
    <n v="1935.25"/>
    <s v="New"/>
    <n v="0.14000000000000001"/>
    <x v="2"/>
    <x v="0"/>
    <s v="North-Eve"/>
  </r>
  <r>
    <n v="1051"/>
    <x v="78"/>
    <s v="Alice"/>
    <s v="North"/>
    <x v="859"/>
    <x v="18"/>
    <x v="3"/>
    <n v="1676.42"/>
    <n v="2082.52"/>
    <s v="New"/>
    <n v="0.15"/>
    <x v="1"/>
    <x v="1"/>
    <s v="North-Alice"/>
  </r>
  <r>
    <n v="1038"/>
    <x v="159"/>
    <s v="Alice"/>
    <s v="East"/>
    <x v="860"/>
    <x v="8"/>
    <x v="0"/>
    <n v="3031.17"/>
    <n v="3231.32"/>
    <s v="Returning"/>
    <n v="0.22"/>
    <x v="0"/>
    <x v="1"/>
    <s v="East-Alice"/>
  </r>
  <r>
    <n v="1064"/>
    <x v="167"/>
    <s v="Bob"/>
    <s v="North"/>
    <x v="861"/>
    <x v="4"/>
    <x v="2"/>
    <n v="1645.51"/>
    <n v="2045.53"/>
    <s v="Returning"/>
    <n v="0.28000000000000003"/>
    <x v="0"/>
    <x v="1"/>
    <s v="North-Bob"/>
  </r>
  <r>
    <n v="1098"/>
    <x v="176"/>
    <s v="Eve"/>
    <s v="East"/>
    <x v="862"/>
    <x v="40"/>
    <x v="3"/>
    <n v="3895.62"/>
    <n v="4055.44"/>
    <s v="New"/>
    <n v="0.03"/>
    <x v="1"/>
    <x v="1"/>
    <s v="East-Eve"/>
  </r>
  <r>
    <n v="1038"/>
    <x v="288"/>
    <s v="David"/>
    <s v="North"/>
    <x v="863"/>
    <x v="14"/>
    <x v="2"/>
    <n v="400.42"/>
    <n v="446.11"/>
    <s v="New"/>
    <n v="0.01"/>
    <x v="1"/>
    <x v="1"/>
    <s v="North-David"/>
  </r>
  <r>
    <n v="1050"/>
    <x v="249"/>
    <s v="Bob"/>
    <s v="North"/>
    <x v="864"/>
    <x v="46"/>
    <x v="3"/>
    <n v="3318.92"/>
    <n v="3785.91"/>
    <s v="New"/>
    <n v="0.24"/>
    <x v="1"/>
    <x v="0"/>
    <s v="North-Bob"/>
  </r>
  <r>
    <n v="1098"/>
    <x v="333"/>
    <s v="Alice"/>
    <s v="South"/>
    <x v="865"/>
    <x v="12"/>
    <x v="3"/>
    <n v="4055.51"/>
    <n v="4258.84"/>
    <s v="Returning"/>
    <n v="0.03"/>
    <x v="2"/>
    <x v="0"/>
    <s v="South-Alice"/>
  </r>
  <r>
    <n v="1082"/>
    <x v="230"/>
    <s v="Alice"/>
    <s v="East"/>
    <x v="866"/>
    <x v="10"/>
    <x v="1"/>
    <n v="3380.52"/>
    <n v="3778.94"/>
    <s v="Returning"/>
    <n v="0.3"/>
    <x v="1"/>
    <x v="0"/>
    <s v="East-Alice"/>
  </r>
  <r>
    <n v="1030"/>
    <x v="288"/>
    <s v="Alice"/>
    <s v="North"/>
    <x v="867"/>
    <x v="3"/>
    <x v="1"/>
    <n v="2511.2800000000002"/>
    <n v="2658.06"/>
    <s v="New"/>
    <n v="0.19"/>
    <x v="2"/>
    <x v="1"/>
    <s v="North-Alice"/>
  </r>
  <r>
    <n v="1079"/>
    <x v="17"/>
    <s v="Eve"/>
    <s v="East"/>
    <x v="868"/>
    <x v="26"/>
    <x v="1"/>
    <n v="4754.0200000000004"/>
    <n v="5080.74"/>
    <s v="New"/>
    <n v="0.2"/>
    <x v="0"/>
    <x v="0"/>
    <s v="East-Eve"/>
  </r>
  <r>
    <n v="1091"/>
    <x v="279"/>
    <s v="Eve"/>
    <s v="East"/>
    <x v="869"/>
    <x v="13"/>
    <x v="3"/>
    <n v="1534.7"/>
    <n v="1972.62"/>
    <s v="Returning"/>
    <n v="0.06"/>
    <x v="2"/>
    <x v="1"/>
    <s v="East-Eve"/>
  </r>
  <r>
    <n v="1051"/>
    <x v="10"/>
    <s v="Bob"/>
    <s v="West"/>
    <x v="870"/>
    <x v="17"/>
    <x v="0"/>
    <n v="144.88"/>
    <n v="175.29"/>
    <s v="New"/>
    <n v="7.0000000000000007E-2"/>
    <x v="1"/>
    <x v="0"/>
    <s v="West-Bob"/>
  </r>
  <r>
    <n v="1063"/>
    <x v="293"/>
    <s v="David"/>
    <s v="South"/>
    <x v="871"/>
    <x v="28"/>
    <x v="2"/>
    <n v="2188.35"/>
    <n v="2605.3599999999901"/>
    <s v="Returning"/>
    <n v="0.2"/>
    <x v="2"/>
    <x v="1"/>
    <s v="South-David"/>
  </r>
  <r>
    <n v="1098"/>
    <x v="200"/>
    <s v="Bob"/>
    <s v="South"/>
    <x v="872"/>
    <x v="23"/>
    <x v="2"/>
    <n v="213.41"/>
    <n v="503.36"/>
    <s v="Returning"/>
    <n v="0.27"/>
    <x v="1"/>
    <x v="0"/>
    <s v="South-Bob"/>
  </r>
  <r>
    <n v="1052"/>
    <x v="25"/>
    <s v="Charlie"/>
    <s v="South"/>
    <x v="873"/>
    <x v="42"/>
    <x v="2"/>
    <n v="4771.99"/>
    <n v="5079.6499999999996"/>
    <s v="New"/>
    <n v="0.28999999999999998"/>
    <x v="2"/>
    <x v="0"/>
    <s v="South-Charlie"/>
  </r>
  <r>
    <n v="1038"/>
    <x v="196"/>
    <s v="Alice"/>
    <s v="West"/>
    <x v="874"/>
    <x v="31"/>
    <x v="1"/>
    <n v="1089.0899999999999"/>
    <n v="1355.44"/>
    <s v="New"/>
    <n v="0.06"/>
    <x v="0"/>
    <x v="1"/>
    <s v="West-Alice"/>
  </r>
  <r>
    <n v="1097"/>
    <x v="188"/>
    <s v="Alice"/>
    <s v="West"/>
    <x v="875"/>
    <x v="30"/>
    <x v="3"/>
    <n v="3955.19"/>
    <n v="4393.68"/>
    <s v="Returning"/>
    <n v="0.04"/>
    <x v="2"/>
    <x v="0"/>
    <s v="West-Alice"/>
  </r>
  <r>
    <n v="1088"/>
    <x v="142"/>
    <s v="Alice"/>
    <s v="South"/>
    <x v="876"/>
    <x v="23"/>
    <x v="1"/>
    <n v="3884.13"/>
    <n v="3915.41"/>
    <s v="Returning"/>
    <n v="0.02"/>
    <x v="0"/>
    <x v="0"/>
    <s v="South-Alice"/>
  </r>
  <r>
    <n v="1079"/>
    <x v="275"/>
    <s v="Bob"/>
    <s v="West"/>
    <x v="877"/>
    <x v="34"/>
    <x v="0"/>
    <n v="1127.76"/>
    <n v="1265.6600000000001"/>
    <s v="Returning"/>
    <n v="0.26"/>
    <x v="1"/>
    <x v="1"/>
    <s v="West-Bob"/>
  </r>
  <r>
    <n v="1030"/>
    <x v="262"/>
    <s v="Bob"/>
    <s v="West"/>
    <x v="878"/>
    <x v="24"/>
    <x v="3"/>
    <n v="3125.07"/>
    <n v="3564.19"/>
    <s v="Returning"/>
    <n v="0.09"/>
    <x v="0"/>
    <x v="0"/>
    <s v="West-Bob"/>
  </r>
  <r>
    <n v="1051"/>
    <x v="15"/>
    <s v="Alice"/>
    <s v="West"/>
    <x v="879"/>
    <x v="8"/>
    <x v="2"/>
    <n v="287.99"/>
    <n v="666.64"/>
    <s v="Returning"/>
    <n v="0"/>
    <x v="1"/>
    <x v="0"/>
    <s v="West-Alice"/>
  </r>
  <r>
    <n v="1081"/>
    <x v="265"/>
    <s v="Bob"/>
    <s v="South"/>
    <x v="880"/>
    <x v="12"/>
    <x v="1"/>
    <n v="2443.69"/>
    <n v="2462.34"/>
    <s v="New"/>
    <n v="7.0000000000000007E-2"/>
    <x v="1"/>
    <x v="1"/>
    <s v="South-Bob"/>
  </r>
  <r>
    <n v="1005"/>
    <x v="91"/>
    <s v="Eve"/>
    <s v="South"/>
    <x v="881"/>
    <x v="32"/>
    <x v="1"/>
    <n v="122.5"/>
    <n v="385.83"/>
    <s v="Returning"/>
    <n v="0.1"/>
    <x v="0"/>
    <x v="1"/>
    <s v="South-Eve"/>
  </r>
  <r>
    <n v="1029"/>
    <x v="159"/>
    <s v="Eve"/>
    <s v="South"/>
    <x v="882"/>
    <x v="7"/>
    <x v="0"/>
    <n v="4609.66"/>
    <n v="4879.1499999999996"/>
    <s v="Returning"/>
    <n v="0.3"/>
    <x v="0"/>
    <x v="1"/>
    <s v="South-Eve"/>
  </r>
  <r>
    <n v="1004"/>
    <x v="109"/>
    <s v="Bob"/>
    <s v="West"/>
    <x v="883"/>
    <x v="34"/>
    <x v="0"/>
    <n v="4881.63"/>
    <n v="5088.0600000000004"/>
    <s v="Returning"/>
    <n v="0.16"/>
    <x v="2"/>
    <x v="1"/>
    <s v="West-Bob"/>
  </r>
  <r>
    <n v="1010"/>
    <x v="210"/>
    <s v="Alice"/>
    <s v="South"/>
    <x v="884"/>
    <x v="37"/>
    <x v="1"/>
    <n v="1150.3"/>
    <n v="1306.02"/>
    <s v="New"/>
    <n v="0.06"/>
    <x v="2"/>
    <x v="1"/>
    <s v="South-Alice"/>
  </r>
  <r>
    <n v="1056"/>
    <x v="241"/>
    <s v="Bob"/>
    <s v="West"/>
    <x v="885"/>
    <x v="31"/>
    <x v="0"/>
    <n v="1080.1199999999999"/>
    <n v="1424.1699999999901"/>
    <s v="New"/>
    <n v="0.1"/>
    <x v="0"/>
    <x v="0"/>
    <s v="West-Bob"/>
  </r>
  <r>
    <n v="1017"/>
    <x v="85"/>
    <s v="Bob"/>
    <s v="North"/>
    <x v="886"/>
    <x v="40"/>
    <x v="2"/>
    <n v="3780.91"/>
    <n v="3892.73"/>
    <s v="Returning"/>
    <n v="0.1"/>
    <x v="0"/>
    <x v="1"/>
    <s v="North-Bob"/>
  </r>
  <r>
    <n v="1074"/>
    <x v="248"/>
    <s v="Bob"/>
    <s v="West"/>
    <x v="887"/>
    <x v="21"/>
    <x v="0"/>
    <n v="1304.23"/>
    <n v="1705.71"/>
    <s v="Returning"/>
    <n v="0.01"/>
    <x v="0"/>
    <x v="1"/>
    <s v="West-Bob"/>
  </r>
  <r>
    <n v="1017"/>
    <x v="294"/>
    <s v="Charlie"/>
    <s v="East"/>
    <x v="888"/>
    <x v="22"/>
    <x v="0"/>
    <n v="4480.63"/>
    <n v="4884.12"/>
    <s v="New"/>
    <n v="0.04"/>
    <x v="0"/>
    <x v="0"/>
    <s v="East-Charlie"/>
  </r>
  <r>
    <n v="1084"/>
    <x v="270"/>
    <s v="Eve"/>
    <s v="South"/>
    <x v="889"/>
    <x v="11"/>
    <x v="1"/>
    <n v="2890.95"/>
    <n v="3104.43"/>
    <s v="New"/>
    <n v="0.21"/>
    <x v="1"/>
    <x v="0"/>
    <s v="South-Eve"/>
  </r>
  <r>
    <n v="1088"/>
    <x v="250"/>
    <s v="David"/>
    <s v="South"/>
    <x v="890"/>
    <x v="29"/>
    <x v="1"/>
    <n v="1786.35"/>
    <n v="1935.29"/>
    <s v="New"/>
    <n v="0.04"/>
    <x v="0"/>
    <x v="0"/>
    <s v="South-David"/>
  </r>
  <r>
    <n v="1069"/>
    <x v="126"/>
    <s v="David"/>
    <s v="East"/>
    <x v="891"/>
    <x v="20"/>
    <x v="3"/>
    <n v="4171.83"/>
    <n v="4320.93"/>
    <s v="New"/>
    <n v="7.0000000000000007E-2"/>
    <x v="0"/>
    <x v="0"/>
    <s v="East-David"/>
  </r>
  <r>
    <n v="1034"/>
    <x v="154"/>
    <s v="Charlie"/>
    <s v="West"/>
    <x v="892"/>
    <x v="48"/>
    <x v="3"/>
    <n v="2492.36"/>
    <n v="2738.68"/>
    <s v="Returning"/>
    <n v="0.11"/>
    <x v="0"/>
    <x v="0"/>
    <s v="West-Charlie"/>
  </r>
  <r>
    <n v="1006"/>
    <x v="141"/>
    <s v="Bob"/>
    <s v="North"/>
    <x v="893"/>
    <x v="23"/>
    <x v="1"/>
    <n v="4562.58"/>
    <n v="4925.17"/>
    <s v="New"/>
    <n v="0.23"/>
    <x v="0"/>
    <x v="1"/>
    <s v="North-Bob"/>
  </r>
  <r>
    <n v="1053"/>
    <x v="67"/>
    <s v="Charlie"/>
    <s v="East"/>
    <x v="894"/>
    <x v="3"/>
    <x v="0"/>
    <n v="4643.67"/>
    <n v="4829.5200000000004"/>
    <s v="Returning"/>
    <n v="0.17"/>
    <x v="1"/>
    <x v="0"/>
    <s v="East-Charlie"/>
  </r>
  <r>
    <n v="1066"/>
    <x v="166"/>
    <s v="Charlie"/>
    <s v="East"/>
    <x v="895"/>
    <x v="41"/>
    <x v="0"/>
    <n v="868.83"/>
    <n v="1177.75"/>
    <s v="Returning"/>
    <n v="0.21"/>
    <x v="2"/>
    <x v="1"/>
    <s v="East-Charlie"/>
  </r>
  <r>
    <n v="1077"/>
    <x v="318"/>
    <s v="Alice"/>
    <s v="West"/>
    <x v="896"/>
    <x v="44"/>
    <x v="3"/>
    <n v="61.5"/>
    <n v="258.91999999999899"/>
    <s v="New"/>
    <n v="0.17"/>
    <x v="2"/>
    <x v="0"/>
    <s v="West-Alice"/>
  </r>
  <r>
    <n v="1043"/>
    <x v="111"/>
    <s v="Eve"/>
    <s v="South"/>
    <x v="897"/>
    <x v="26"/>
    <x v="3"/>
    <n v="4920.46"/>
    <n v="5079.68"/>
    <s v="New"/>
    <n v="0.21"/>
    <x v="2"/>
    <x v="1"/>
    <s v="South-Eve"/>
  </r>
  <r>
    <n v="1075"/>
    <x v="219"/>
    <s v="David"/>
    <s v="West"/>
    <x v="898"/>
    <x v="42"/>
    <x v="3"/>
    <n v="4535.38"/>
    <n v="4557.5600000000004"/>
    <s v="New"/>
    <n v="0"/>
    <x v="2"/>
    <x v="0"/>
    <s v="West-David"/>
  </r>
  <r>
    <n v="1023"/>
    <x v="53"/>
    <s v="Bob"/>
    <s v="East"/>
    <x v="899"/>
    <x v="34"/>
    <x v="2"/>
    <n v="324.45"/>
    <n v="336.37"/>
    <s v="New"/>
    <n v="0.28000000000000003"/>
    <x v="2"/>
    <x v="1"/>
    <s v="East-Bob"/>
  </r>
  <r>
    <n v="1055"/>
    <x v="15"/>
    <s v="David"/>
    <s v="East"/>
    <x v="900"/>
    <x v="7"/>
    <x v="2"/>
    <n v="4173.5200000000004"/>
    <n v="4294.8500000000004"/>
    <s v="Returning"/>
    <n v="0.03"/>
    <x v="1"/>
    <x v="1"/>
    <s v="East-David"/>
  </r>
  <r>
    <n v="1080"/>
    <x v="314"/>
    <s v="David"/>
    <s v="South"/>
    <x v="901"/>
    <x v="26"/>
    <x v="3"/>
    <n v="2316.13"/>
    <n v="2525.27"/>
    <s v="Returning"/>
    <n v="0.12"/>
    <x v="2"/>
    <x v="1"/>
    <s v="South-David"/>
  </r>
  <r>
    <n v="1095"/>
    <x v="313"/>
    <s v="Eve"/>
    <s v="South"/>
    <x v="902"/>
    <x v="8"/>
    <x v="0"/>
    <n v="1331.86"/>
    <n v="1758.98"/>
    <s v="Returning"/>
    <n v="0.23"/>
    <x v="1"/>
    <x v="1"/>
    <s v="South-Eve"/>
  </r>
  <r>
    <n v="1075"/>
    <x v="334"/>
    <s v="David"/>
    <s v="South"/>
    <x v="903"/>
    <x v="35"/>
    <x v="3"/>
    <n v="4399.8"/>
    <n v="4801.0600000000004"/>
    <s v="New"/>
    <n v="0.13"/>
    <x v="1"/>
    <x v="1"/>
    <s v="South-David"/>
  </r>
  <r>
    <n v="1016"/>
    <x v="168"/>
    <s v="David"/>
    <s v="West"/>
    <x v="904"/>
    <x v="7"/>
    <x v="2"/>
    <n v="1023.5"/>
    <n v="1164.4100000000001"/>
    <s v="Returning"/>
    <n v="0.28000000000000003"/>
    <x v="2"/>
    <x v="1"/>
    <s v="West-David"/>
  </r>
  <r>
    <n v="1008"/>
    <x v="274"/>
    <s v="Charlie"/>
    <s v="South"/>
    <x v="905"/>
    <x v="38"/>
    <x v="0"/>
    <n v="4739.13"/>
    <n v="4868.95"/>
    <s v="New"/>
    <n v="0.14000000000000001"/>
    <x v="2"/>
    <x v="1"/>
    <s v="South-Charlie"/>
  </r>
  <r>
    <n v="1004"/>
    <x v="43"/>
    <s v="Eve"/>
    <s v="East"/>
    <x v="906"/>
    <x v="25"/>
    <x v="2"/>
    <n v="1067.83"/>
    <n v="1189.22"/>
    <s v="Returning"/>
    <n v="0.26"/>
    <x v="2"/>
    <x v="1"/>
    <s v="East-Eve"/>
  </r>
  <r>
    <n v="1004"/>
    <x v="196"/>
    <s v="Alice"/>
    <s v="East"/>
    <x v="907"/>
    <x v="4"/>
    <x v="0"/>
    <n v="3087.73"/>
    <n v="3263.96"/>
    <s v="New"/>
    <n v="0.24"/>
    <x v="0"/>
    <x v="1"/>
    <s v="East-Alice"/>
  </r>
  <r>
    <n v="1056"/>
    <x v="197"/>
    <s v="Bob"/>
    <s v="North"/>
    <x v="908"/>
    <x v="44"/>
    <x v="2"/>
    <n v="1154.28"/>
    <n v="1408.4"/>
    <s v="Returning"/>
    <n v="0.28999999999999998"/>
    <x v="1"/>
    <x v="1"/>
    <s v="North-Bob"/>
  </r>
  <r>
    <n v="1025"/>
    <x v="59"/>
    <s v="David"/>
    <s v="West"/>
    <x v="909"/>
    <x v="41"/>
    <x v="0"/>
    <n v="2751.06"/>
    <n v="2976.0099999999902"/>
    <s v="Returning"/>
    <n v="0.28000000000000003"/>
    <x v="2"/>
    <x v="0"/>
    <s v="West-David"/>
  </r>
  <r>
    <n v="1067"/>
    <x v="330"/>
    <s v="Bob"/>
    <s v="North"/>
    <x v="910"/>
    <x v="23"/>
    <x v="0"/>
    <n v="3435.68"/>
    <n v="3552.6299999999901"/>
    <s v="New"/>
    <n v="0.27"/>
    <x v="0"/>
    <x v="1"/>
    <s v="North-Bob"/>
  </r>
  <r>
    <n v="1096"/>
    <x v="247"/>
    <s v="Alice"/>
    <s v="East"/>
    <x v="911"/>
    <x v="5"/>
    <x v="0"/>
    <n v="991.63"/>
    <n v="1065.55"/>
    <s v="Returning"/>
    <n v="0.22"/>
    <x v="1"/>
    <x v="1"/>
    <s v="East-Alice"/>
  </r>
  <r>
    <n v="1067"/>
    <x v="114"/>
    <s v="Bob"/>
    <s v="North"/>
    <x v="912"/>
    <x v="37"/>
    <x v="0"/>
    <n v="2628.38"/>
    <n v="2644.54"/>
    <s v="Returning"/>
    <n v="0.11"/>
    <x v="0"/>
    <x v="0"/>
    <s v="North-Bob"/>
  </r>
  <r>
    <n v="1027"/>
    <x v="153"/>
    <s v="Alice"/>
    <s v="East"/>
    <x v="913"/>
    <x v="48"/>
    <x v="1"/>
    <n v="2371.85"/>
    <n v="2457.29"/>
    <s v="New"/>
    <n v="0.03"/>
    <x v="0"/>
    <x v="1"/>
    <s v="East-Alice"/>
  </r>
  <r>
    <n v="1093"/>
    <x v="82"/>
    <s v="Charlie"/>
    <s v="North"/>
    <x v="914"/>
    <x v="7"/>
    <x v="2"/>
    <n v="401.64"/>
    <n v="757.26"/>
    <s v="New"/>
    <n v="0.21"/>
    <x v="2"/>
    <x v="1"/>
    <s v="North-Charlie"/>
  </r>
  <r>
    <n v="1032"/>
    <x v="143"/>
    <s v="David"/>
    <s v="South"/>
    <x v="915"/>
    <x v="23"/>
    <x v="2"/>
    <n v="4100.62"/>
    <n v="4230"/>
    <s v="New"/>
    <n v="0.28999999999999998"/>
    <x v="1"/>
    <x v="0"/>
    <s v="South-David"/>
  </r>
  <r>
    <n v="1050"/>
    <x v="335"/>
    <s v="Alice"/>
    <s v="North"/>
    <x v="916"/>
    <x v="40"/>
    <x v="1"/>
    <n v="1711.63"/>
    <n v="1951.24"/>
    <s v="New"/>
    <n v="0.22"/>
    <x v="0"/>
    <x v="0"/>
    <s v="North-Alice"/>
  </r>
  <r>
    <n v="1061"/>
    <x v="127"/>
    <s v="Bob"/>
    <s v="South"/>
    <x v="917"/>
    <x v="36"/>
    <x v="0"/>
    <n v="2894.18"/>
    <n v="3193.92"/>
    <s v="New"/>
    <n v="0.28000000000000003"/>
    <x v="1"/>
    <x v="1"/>
    <s v="South-Bob"/>
  </r>
  <r>
    <n v="1051"/>
    <x v="231"/>
    <s v="David"/>
    <s v="South"/>
    <x v="918"/>
    <x v="18"/>
    <x v="0"/>
    <n v="2598.1799999999998"/>
    <n v="3042.73"/>
    <s v="Returning"/>
    <n v="0.24"/>
    <x v="2"/>
    <x v="0"/>
    <s v="South-David"/>
  </r>
  <r>
    <n v="1019"/>
    <x v="291"/>
    <s v="Charlie"/>
    <s v="West"/>
    <x v="919"/>
    <x v="27"/>
    <x v="2"/>
    <n v="2590.64"/>
    <n v="3036.18"/>
    <s v="New"/>
    <n v="0.05"/>
    <x v="1"/>
    <x v="1"/>
    <s v="West-Charlie"/>
  </r>
  <r>
    <n v="1021"/>
    <x v="260"/>
    <s v="David"/>
    <s v="South"/>
    <x v="920"/>
    <x v="18"/>
    <x v="1"/>
    <n v="580.75"/>
    <n v="956.16"/>
    <s v="Returning"/>
    <n v="7.0000000000000007E-2"/>
    <x v="0"/>
    <x v="1"/>
    <s v="South-David"/>
  </r>
  <r>
    <n v="1005"/>
    <x v="197"/>
    <s v="Alice"/>
    <s v="South"/>
    <x v="921"/>
    <x v="40"/>
    <x v="0"/>
    <n v="2146.2399999999998"/>
    <n v="2173.4699999999998"/>
    <s v="Returning"/>
    <n v="0.1"/>
    <x v="0"/>
    <x v="1"/>
    <s v="South-Alice"/>
  </r>
  <r>
    <n v="1082"/>
    <x v="34"/>
    <s v="Charlie"/>
    <s v="North"/>
    <x v="922"/>
    <x v="8"/>
    <x v="0"/>
    <n v="2289.2199999999998"/>
    <n v="2581"/>
    <s v="New"/>
    <n v="0.05"/>
    <x v="1"/>
    <x v="0"/>
    <s v="North-Charlie"/>
  </r>
  <r>
    <n v="1092"/>
    <x v="241"/>
    <s v="Bob"/>
    <s v="East"/>
    <x v="923"/>
    <x v="20"/>
    <x v="0"/>
    <n v="3681.53"/>
    <n v="4076.96"/>
    <s v="Returning"/>
    <n v="0.17"/>
    <x v="0"/>
    <x v="1"/>
    <s v="East-Bob"/>
  </r>
  <r>
    <n v="1042"/>
    <x v="322"/>
    <s v="Charlie"/>
    <s v="West"/>
    <x v="924"/>
    <x v="42"/>
    <x v="3"/>
    <n v="4208.09"/>
    <n v="4226.5600000000004"/>
    <s v="Returning"/>
    <n v="0.28999999999999998"/>
    <x v="0"/>
    <x v="1"/>
    <s v="West-Charlie"/>
  </r>
  <r>
    <n v="1061"/>
    <x v="2"/>
    <s v="Charlie"/>
    <s v="South"/>
    <x v="925"/>
    <x v="44"/>
    <x v="1"/>
    <n v="2747.66"/>
    <n v="3027.0099999999902"/>
    <s v="New"/>
    <n v="0.23"/>
    <x v="0"/>
    <x v="0"/>
    <s v="South-Charlie"/>
  </r>
  <r>
    <n v="1022"/>
    <x v="90"/>
    <s v="Eve"/>
    <s v="West"/>
    <x v="926"/>
    <x v="6"/>
    <x v="0"/>
    <n v="479.58"/>
    <n v="909.88"/>
    <s v="Returning"/>
    <n v="0.13"/>
    <x v="2"/>
    <x v="1"/>
    <s v="West-Eve"/>
  </r>
  <r>
    <n v="1021"/>
    <x v="68"/>
    <s v="Charlie"/>
    <s v="North"/>
    <x v="927"/>
    <x v="12"/>
    <x v="3"/>
    <n v="1222.4000000000001"/>
    <n v="1464.71"/>
    <s v="New"/>
    <n v="0"/>
    <x v="2"/>
    <x v="1"/>
    <s v="North-Charlie"/>
  </r>
  <r>
    <n v="1070"/>
    <x v="336"/>
    <s v="Charlie"/>
    <s v="South"/>
    <x v="928"/>
    <x v="19"/>
    <x v="1"/>
    <n v="866.42"/>
    <n v="878.43"/>
    <s v="New"/>
    <n v="0.09"/>
    <x v="0"/>
    <x v="1"/>
    <s v="South-Charlie"/>
  </r>
  <r>
    <n v="1001"/>
    <x v="24"/>
    <s v="David"/>
    <s v="North"/>
    <x v="929"/>
    <x v="43"/>
    <x v="0"/>
    <n v="666.84"/>
    <n v="682.24"/>
    <s v="New"/>
    <n v="0.16"/>
    <x v="1"/>
    <x v="1"/>
    <s v="North-David"/>
  </r>
  <r>
    <n v="1005"/>
    <x v="76"/>
    <s v="Bob"/>
    <s v="West"/>
    <x v="930"/>
    <x v="28"/>
    <x v="2"/>
    <n v="1861.2"/>
    <n v="2075.35"/>
    <s v="Returning"/>
    <n v="0.1"/>
    <x v="2"/>
    <x v="1"/>
    <s v="West-Bob"/>
  </r>
  <r>
    <n v="1012"/>
    <x v="24"/>
    <s v="David"/>
    <s v="North"/>
    <x v="931"/>
    <x v="28"/>
    <x v="3"/>
    <n v="1185.5"/>
    <n v="1271.45"/>
    <s v="Returning"/>
    <n v="0.03"/>
    <x v="1"/>
    <x v="1"/>
    <s v="North-David"/>
  </r>
  <r>
    <n v="1090"/>
    <x v="1"/>
    <s v="David"/>
    <s v="West"/>
    <x v="932"/>
    <x v="22"/>
    <x v="3"/>
    <n v="1130.5999999999999"/>
    <n v="1466.1799999999901"/>
    <s v="Returning"/>
    <n v="0.13"/>
    <x v="0"/>
    <x v="0"/>
    <s v="West-David"/>
  </r>
  <r>
    <n v="1046"/>
    <x v="175"/>
    <s v="Alice"/>
    <s v="North"/>
    <x v="933"/>
    <x v="2"/>
    <x v="0"/>
    <n v="320.73"/>
    <n v="678.04"/>
    <s v="Returning"/>
    <n v="0.08"/>
    <x v="0"/>
    <x v="1"/>
    <s v="North-Alice"/>
  </r>
  <r>
    <n v="1034"/>
    <x v="212"/>
    <s v="David"/>
    <s v="West"/>
    <x v="934"/>
    <x v="40"/>
    <x v="0"/>
    <n v="137.47"/>
    <n v="234.63"/>
    <s v="New"/>
    <n v="0.27"/>
    <x v="1"/>
    <x v="1"/>
    <s v="West-David"/>
  </r>
  <r>
    <n v="1049"/>
    <x v="76"/>
    <s v="Eve"/>
    <s v="East"/>
    <x v="935"/>
    <x v="1"/>
    <x v="3"/>
    <n v="558.70000000000005"/>
    <n v="1004.08"/>
    <s v="Returning"/>
    <n v="0.03"/>
    <x v="2"/>
    <x v="0"/>
    <s v="East-Eve"/>
  </r>
  <r>
    <n v="1078"/>
    <x v="328"/>
    <s v="Eve"/>
    <s v="North"/>
    <x v="936"/>
    <x v="45"/>
    <x v="2"/>
    <n v="902.38"/>
    <n v="1128.9100000000001"/>
    <s v="New"/>
    <n v="0.01"/>
    <x v="1"/>
    <x v="1"/>
    <s v="North-Eve"/>
  </r>
  <r>
    <n v="1090"/>
    <x v="310"/>
    <s v="Alice"/>
    <s v="North"/>
    <x v="937"/>
    <x v="25"/>
    <x v="2"/>
    <n v="2183.37"/>
    <n v="2263.3599999999901"/>
    <s v="Returning"/>
    <n v="0"/>
    <x v="1"/>
    <x v="1"/>
    <s v="North-Alice"/>
  </r>
  <r>
    <n v="1045"/>
    <x v="320"/>
    <s v="Bob"/>
    <s v="East"/>
    <x v="938"/>
    <x v="7"/>
    <x v="1"/>
    <n v="2577.08"/>
    <n v="2961.56"/>
    <s v="Returning"/>
    <n v="0.1"/>
    <x v="0"/>
    <x v="0"/>
    <s v="East-Bob"/>
  </r>
  <r>
    <n v="1027"/>
    <x v="285"/>
    <s v="Bob"/>
    <s v="East"/>
    <x v="939"/>
    <x v="2"/>
    <x v="0"/>
    <n v="745.93"/>
    <n v="1143.02"/>
    <s v="Returning"/>
    <n v="0.2"/>
    <x v="2"/>
    <x v="0"/>
    <s v="East-Bob"/>
  </r>
  <r>
    <n v="1073"/>
    <x v="152"/>
    <s v="David"/>
    <s v="North"/>
    <x v="940"/>
    <x v="6"/>
    <x v="2"/>
    <n v="2152.6799999999998"/>
    <n v="2475.9299999999998"/>
    <s v="Returning"/>
    <n v="0.22"/>
    <x v="1"/>
    <x v="0"/>
    <s v="North-David"/>
  </r>
  <r>
    <n v="1026"/>
    <x v="158"/>
    <s v="David"/>
    <s v="East"/>
    <x v="941"/>
    <x v="27"/>
    <x v="1"/>
    <n v="1741.66"/>
    <n v="2169.86"/>
    <s v="Returning"/>
    <n v="0.14000000000000001"/>
    <x v="2"/>
    <x v="0"/>
    <s v="East-David"/>
  </r>
  <r>
    <n v="1047"/>
    <x v="217"/>
    <s v="David"/>
    <s v="South"/>
    <x v="942"/>
    <x v="13"/>
    <x v="2"/>
    <n v="957.95"/>
    <n v="1329.26"/>
    <s v="New"/>
    <n v="0.21"/>
    <x v="0"/>
    <x v="0"/>
    <s v="South-David"/>
  </r>
  <r>
    <n v="1086"/>
    <x v="242"/>
    <s v="Bob"/>
    <s v="West"/>
    <x v="943"/>
    <x v="7"/>
    <x v="0"/>
    <n v="83.86"/>
    <n v="526.14"/>
    <s v="Returning"/>
    <n v="0.11"/>
    <x v="2"/>
    <x v="0"/>
    <s v="West-Bob"/>
  </r>
  <r>
    <n v="1056"/>
    <x v="107"/>
    <s v="Charlie"/>
    <s v="West"/>
    <x v="944"/>
    <x v="44"/>
    <x v="1"/>
    <n v="2361.7399999999998"/>
    <n v="2584.35"/>
    <s v="Returning"/>
    <n v="0.2"/>
    <x v="0"/>
    <x v="0"/>
    <s v="West-Charlie"/>
  </r>
  <r>
    <n v="1094"/>
    <x v="267"/>
    <s v="Eve"/>
    <s v="West"/>
    <x v="945"/>
    <x v="34"/>
    <x v="1"/>
    <n v="3443.98"/>
    <n v="3820.3"/>
    <s v="Returning"/>
    <n v="0.01"/>
    <x v="2"/>
    <x v="1"/>
    <s v="West-Eve"/>
  </r>
  <r>
    <n v="1063"/>
    <x v="202"/>
    <s v="Charlie"/>
    <s v="South"/>
    <x v="946"/>
    <x v="31"/>
    <x v="1"/>
    <n v="1170.07"/>
    <n v="1669.94999999999"/>
    <s v="Returning"/>
    <n v="0.12"/>
    <x v="1"/>
    <x v="1"/>
    <s v="South-Charlie"/>
  </r>
  <r>
    <n v="1048"/>
    <x v="267"/>
    <s v="Charlie"/>
    <s v="East"/>
    <x v="947"/>
    <x v="20"/>
    <x v="2"/>
    <n v="702.44"/>
    <n v="1067.6600000000001"/>
    <s v="New"/>
    <n v="0.24"/>
    <x v="0"/>
    <x v="1"/>
    <s v="East-Charlie"/>
  </r>
  <r>
    <n v="1061"/>
    <x v="170"/>
    <s v="Bob"/>
    <s v="East"/>
    <x v="948"/>
    <x v="34"/>
    <x v="0"/>
    <n v="4440.8599999999997"/>
    <n v="4506.8099999999904"/>
    <s v="Returning"/>
    <n v="0.24"/>
    <x v="1"/>
    <x v="0"/>
    <s v="East-Bob"/>
  </r>
  <r>
    <n v="1081"/>
    <x v="275"/>
    <s v="Charlie"/>
    <s v="North"/>
    <x v="949"/>
    <x v="18"/>
    <x v="1"/>
    <n v="1411.37"/>
    <n v="1675.35"/>
    <s v="New"/>
    <n v="0.21"/>
    <x v="0"/>
    <x v="1"/>
    <s v="North-Charlie"/>
  </r>
  <r>
    <n v="1026"/>
    <x v="30"/>
    <s v="Alice"/>
    <s v="East"/>
    <x v="950"/>
    <x v="44"/>
    <x v="3"/>
    <n v="1156.8800000000001"/>
    <n v="1454.68"/>
    <s v="Returning"/>
    <n v="0.06"/>
    <x v="2"/>
    <x v="0"/>
    <s v="East-Alice"/>
  </r>
  <r>
    <n v="1036"/>
    <x v="247"/>
    <s v="David"/>
    <s v="North"/>
    <x v="951"/>
    <x v="31"/>
    <x v="0"/>
    <n v="4292.63"/>
    <n v="4387.99"/>
    <s v="New"/>
    <n v="7.0000000000000007E-2"/>
    <x v="2"/>
    <x v="1"/>
    <s v="North-David"/>
  </r>
  <r>
    <n v="1001"/>
    <x v="216"/>
    <s v="Alice"/>
    <s v="South"/>
    <x v="952"/>
    <x v="48"/>
    <x v="3"/>
    <n v="4094.68"/>
    <n v="4576.5"/>
    <s v="New"/>
    <n v="0.3"/>
    <x v="0"/>
    <x v="1"/>
    <s v="South-Alice"/>
  </r>
  <r>
    <n v="1008"/>
    <x v="164"/>
    <s v="Eve"/>
    <s v="West"/>
    <x v="953"/>
    <x v="33"/>
    <x v="3"/>
    <n v="2269.3200000000002"/>
    <n v="2365.35"/>
    <s v="New"/>
    <n v="0.03"/>
    <x v="0"/>
    <x v="1"/>
    <s v="West-Eve"/>
  </r>
  <r>
    <n v="1099"/>
    <x v="337"/>
    <s v="David"/>
    <s v="West"/>
    <x v="954"/>
    <x v="1"/>
    <x v="1"/>
    <n v="2471.73"/>
    <n v="2568.73"/>
    <s v="New"/>
    <n v="0.05"/>
    <x v="0"/>
    <x v="1"/>
    <s v="West-David"/>
  </r>
  <r>
    <n v="1052"/>
    <x v="64"/>
    <s v="Charlie"/>
    <s v="West"/>
    <x v="955"/>
    <x v="0"/>
    <x v="1"/>
    <n v="1127.8599999999999"/>
    <n v="1586.29"/>
    <s v="New"/>
    <n v="0.04"/>
    <x v="2"/>
    <x v="0"/>
    <s v="West-Charlie"/>
  </r>
  <r>
    <n v="1079"/>
    <x v="46"/>
    <s v="Eve"/>
    <s v="East"/>
    <x v="956"/>
    <x v="37"/>
    <x v="2"/>
    <n v="437.59"/>
    <n v="675.54"/>
    <s v="Returning"/>
    <n v="0.1"/>
    <x v="0"/>
    <x v="0"/>
    <s v="East-Eve"/>
  </r>
  <r>
    <n v="1047"/>
    <x v="338"/>
    <s v="David"/>
    <s v="North"/>
    <x v="957"/>
    <x v="36"/>
    <x v="2"/>
    <n v="2888.49"/>
    <n v="2929.45"/>
    <s v="New"/>
    <n v="0.06"/>
    <x v="0"/>
    <x v="1"/>
    <s v="North-David"/>
  </r>
  <r>
    <n v="1056"/>
    <x v="223"/>
    <s v="Charlie"/>
    <s v="North"/>
    <x v="958"/>
    <x v="15"/>
    <x v="2"/>
    <n v="536.80999999999995"/>
    <n v="839.92"/>
    <s v="Returning"/>
    <n v="0.15"/>
    <x v="1"/>
    <x v="0"/>
    <s v="North-Charlie"/>
  </r>
  <r>
    <n v="1086"/>
    <x v="117"/>
    <s v="Alice"/>
    <s v="South"/>
    <x v="959"/>
    <x v="15"/>
    <x v="0"/>
    <n v="2273.91"/>
    <n v="2578.7999999999902"/>
    <s v="New"/>
    <n v="0.14000000000000001"/>
    <x v="0"/>
    <x v="0"/>
    <s v="South-Alice"/>
  </r>
  <r>
    <n v="1014"/>
    <x v="276"/>
    <s v="David"/>
    <s v="East"/>
    <x v="960"/>
    <x v="48"/>
    <x v="2"/>
    <n v="4705.46"/>
    <n v="4747.07"/>
    <s v="New"/>
    <n v="0.27"/>
    <x v="1"/>
    <x v="1"/>
    <s v="East-David"/>
  </r>
  <r>
    <n v="1090"/>
    <x v="108"/>
    <s v="Charlie"/>
    <s v="South"/>
    <x v="961"/>
    <x v="10"/>
    <x v="3"/>
    <n v="4766.53"/>
    <n v="5253.07"/>
    <s v="Returning"/>
    <n v="0.01"/>
    <x v="1"/>
    <x v="0"/>
    <s v="South-Charlie"/>
  </r>
  <r>
    <n v="1028"/>
    <x v="252"/>
    <s v="Alice"/>
    <s v="North"/>
    <x v="962"/>
    <x v="34"/>
    <x v="2"/>
    <n v="1234.69"/>
    <n v="1511.26"/>
    <s v="New"/>
    <n v="0.1"/>
    <x v="1"/>
    <x v="0"/>
    <s v="North-Alice"/>
  </r>
  <r>
    <n v="1087"/>
    <x v="47"/>
    <s v="Eve"/>
    <s v="North"/>
    <x v="963"/>
    <x v="30"/>
    <x v="1"/>
    <n v="3139.36"/>
    <n v="3423.66"/>
    <s v="New"/>
    <n v="0.18"/>
    <x v="2"/>
    <x v="0"/>
    <s v="North-Eve"/>
  </r>
  <r>
    <n v="1078"/>
    <x v="218"/>
    <s v="Eve"/>
    <s v="West"/>
    <x v="964"/>
    <x v="19"/>
    <x v="2"/>
    <n v="2396.6799999999998"/>
    <n v="2661.54"/>
    <s v="New"/>
    <n v="0.18"/>
    <x v="1"/>
    <x v="0"/>
    <s v="West-Eve"/>
  </r>
  <r>
    <n v="1088"/>
    <x v="187"/>
    <s v="Eve"/>
    <s v="East"/>
    <x v="965"/>
    <x v="21"/>
    <x v="0"/>
    <n v="4384.6400000000003"/>
    <n v="4693.8999999999996"/>
    <s v="New"/>
    <n v="0.14000000000000001"/>
    <x v="0"/>
    <x v="1"/>
    <s v="East-Eve"/>
  </r>
  <r>
    <n v="1002"/>
    <x v="16"/>
    <s v="Eve"/>
    <s v="North"/>
    <x v="966"/>
    <x v="16"/>
    <x v="0"/>
    <n v="1393.58"/>
    <n v="1533.09"/>
    <s v="Returning"/>
    <n v="0.24"/>
    <x v="2"/>
    <x v="1"/>
    <s v="North-Eve"/>
  </r>
  <r>
    <n v="1026"/>
    <x v="299"/>
    <s v="Bob"/>
    <s v="West"/>
    <x v="967"/>
    <x v="24"/>
    <x v="3"/>
    <n v="68.33"/>
    <n v="219.07999999999899"/>
    <s v="New"/>
    <n v="0.02"/>
    <x v="2"/>
    <x v="0"/>
    <s v="West-Bob"/>
  </r>
  <r>
    <n v="1014"/>
    <x v="317"/>
    <s v="David"/>
    <s v="East"/>
    <x v="968"/>
    <x v="41"/>
    <x v="0"/>
    <n v="854.68"/>
    <n v="1115.24"/>
    <s v="New"/>
    <n v="0.24"/>
    <x v="2"/>
    <x v="1"/>
    <s v="East-David"/>
  </r>
  <r>
    <n v="1059"/>
    <x v="258"/>
    <s v="David"/>
    <s v="South"/>
    <x v="969"/>
    <x v="1"/>
    <x v="2"/>
    <n v="1780.14"/>
    <n v="2185.42"/>
    <s v="Returning"/>
    <n v="0.15"/>
    <x v="2"/>
    <x v="1"/>
    <s v="South-David"/>
  </r>
  <r>
    <n v="1056"/>
    <x v="92"/>
    <s v="Bob"/>
    <s v="East"/>
    <x v="970"/>
    <x v="41"/>
    <x v="1"/>
    <n v="1612.82"/>
    <n v="1647.25"/>
    <s v="Returning"/>
    <n v="0.04"/>
    <x v="2"/>
    <x v="1"/>
    <s v="East-Bob"/>
  </r>
  <r>
    <n v="1007"/>
    <x v="229"/>
    <s v="Charlie"/>
    <s v="East"/>
    <x v="971"/>
    <x v="8"/>
    <x v="0"/>
    <n v="3967.25"/>
    <n v="4272.92"/>
    <s v="New"/>
    <n v="0.27"/>
    <x v="2"/>
    <x v="0"/>
    <s v="East-Charlie"/>
  </r>
  <r>
    <n v="1003"/>
    <x v="198"/>
    <s v="Charlie"/>
    <s v="North"/>
    <x v="972"/>
    <x v="42"/>
    <x v="3"/>
    <n v="3418.78"/>
    <n v="3824.1"/>
    <s v="New"/>
    <n v="0.19"/>
    <x v="2"/>
    <x v="0"/>
    <s v="North-Charlie"/>
  </r>
  <r>
    <n v="1023"/>
    <x v="166"/>
    <s v="Eve"/>
    <s v="North"/>
    <x v="973"/>
    <x v="41"/>
    <x v="2"/>
    <n v="1532.8"/>
    <n v="1619.69"/>
    <s v="Returning"/>
    <n v="0.05"/>
    <x v="1"/>
    <x v="1"/>
    <s v="North-Eve"/>
  </r>
  <r>
    <n v="1018"/>
    <x v="30"/>
    <s v="Alice"/>
    <s v="East"/>
    <x v="974"/>
    <x v="21"/>
    <x v="3"/>
    <n v="2315.83"/>
    <n v="2333.19"/>
    <s v="New"/>
    <n v="0.01"/>
    <x v="0"/>
    <x v="1"/>
    <s v="East-Alice"/>
  </r>
  <r>
    <n v="1038"/>
    <x v="86"/>
    <s v="Charlie"/>
    <s v="North"/>
    <x v="975"/>
    <x v="48"/>
    <x v="0"/>
    <n v="523.02"/>
    <n v="686.25"/>
    <s v="Returning"/>
    <n v="0.04"/>
    <x v="0"/>
    <x v="0"/>
    <s v="North-Charlie"/>
  </r>
  <r>
    <n v="1099"/>
    <x v="329"/>
    <s v="Alice"/>
    <s v="North"/>
    <x v="976"/>
    <x v="2"/>
    <x v="0"/>
    <n v="4495.82"/>
    <n v="4794.0099999999902"/>
    <s v="New"/>
    <n v="0.18"/>
    <x v="1"/>
    <x v="1"/>
    <s v="North-Alice"/>
  </r>
  <r>
    <n v="1015"/>
    <x v="339"/>
    <s v="David"/>
    <s v="North"/>
    <x v="977"/>
    <x v="14"/>
    <x v="3"/>
    <n v="4680.3500000000004"/>
    <n v="4758.1099999999997"/>
    <s v="Returning"/>
    <n v="0.05"/>
    <x v="1"/>
    <x v="0"/>
    <s v="North-David"/>
  </r>
  <r>
    <n v="1064"/>
    <x v="111"/>
    <s v="Alice"/>
    <s v="West"/>
    <x v="978"/>
    <x v="22"/>
    <x v="2"/>
    <n v="4900.03"/>
    <n v="5118.83"/>
    <s v="Returning"/>
    <n v="7.0000000000000007E-2"/>
    <x v="2"/>
    <x v="1"/>
    <s v="West-Alice"/>
  </r>
  <r>
    <n v="1089"/>
    <x v="136"/>
    <s v="David"/>
    <s v="West"/>
    <x v="979"/>
    <x v="29"/>
    <x v="0"/>
    <n v="4349.34"/>
    <n v="4629.9799999999996"/>
    <s v="Returning"/>
    <n v="0.01"/>
    <x v="2"/>
    <x v="0"/>
    <s v="West-David"/>
  </r>
  <r>
    <n v="1028"/>
    <x v="82"/>
    <s v="Bob"/>
    <s v="East"/>
    <x v="153"/>
    <x v="38"/>
    <x v="1"/>
    <n v="911.11"/>
    <n v="1214.56"/>
    <s v="New"/>
    <n v="0.22"/>
    <x v="1"/>
    <x v="0"/>
    <s v="East-Bob"/>
  </r>
  <r>
    <n v="1074"/>
    <x v="22"/>
    <s v="Bob"/>
    <s v="North"/>
    <x v="980"/>
    <x v="12"/>
    <x v="0"/>
    <n v="278.67"/>
    <n v="423.13"/>
    <s v="New"/>
    <n v="0.24"/>
    <x v="2"/>
    <x v="0"/>
    <s v="North-Bob"/>
  </r>
  <r>
    <n v="1039"/>
    <x v="97"/>
    <s v="Eve"/>
    <s v="West"/>
    <x v="981"/>
    <x v="43"/>
    <x v="2"/>
    <n v="2919"/>
    <n v="3125.01"/>
    <s v="New"/>
    <n v="0.24"/>
    <x v="0"/>
    <x v="0"/>
    <s v="West-Eve"/>
  </r>
  <r>
    <n v="1057"/>
    <x v="130"/>
    <s v="Charlie"/>
    <s v="East"/>
    <x v="982"/>
    <x v="8"/>
    <x v="0"/>
    <n v="4567.3900000000003"/>
    <n v="4958.78"/>
    <s v="New"/>
    <n v="0.04"/>
    <x v="0"/>
    <x v="1"/>
    <s v="East-Charlie"/>
  </r>
  <r>
    <n v="1017"/>
    <x v="332"/>
    <s v="Eve"/>
    <s v="North"/>
    <x v="983"/>
    <x v="30"/>
    <x v="3"/>
    <n v="927.89"/>
    <n v="1399.09"/>
    <s v="Returning"/>
    <n v="0.27"/>
    <x v="2"/>
    <x v="0"/>
    <s v="North-Eve"/>
  </r>
  <r>
    <n v="1086"/>
    <x v="62"/>
    <s v="David"/>
    <s v="South"/>
    <x v="984"/>
    <x v="5"/>
    <x v="0"/>
    <n v="84.86"/>
    <n v="517.17999999999995"/>
    <s v="Returning"/>
    <n v="0.2"/>
    <x v="2"/>
    <x v="1"/>
    <s v="South-David"/>
  </r>
  <r>
    <n v="1090"/>
    <x v="21"/>
    <s v="Eve"/>
    <s v="North"/>
    <x v="985"/>
    <x v="28"/>
    <x v="0"/>
    <n v="4037.21"/>
    <n v="4323.71"/>
    <s v="Returning"/>
    <n v="0.27"/>
    <x v="2"/>
    <x v="0"/>
    <s v="North-Eve"/>
  </r>
  <r>
    <n v="1044"/>
    <x v="36"/>
    <s v="Alice"/>
    <s v="North"/>
    <x v="986"/>
    <x v="0"/>
    <x v="2"/>
    <n v="430.14"/>
    <n v="641.17999999999995"/>
    <s v="New"/>
    <n v="0.13"/>
    <x v="0"/>
    <x v="0"/>
    <s v="North-Alice"/>
  </r>
  <r>
    <n v="1025"/>
    <x v="174"/>
    <s v="David"/>
    <s v="West"/>
    <x v="987"/>
    <x v="40"/>
    <x v="3"/>
    <n v="2097.84"/>
    <n v="2270.9899999999998"/>
    <s v="New"/>
    <n v="0.13"/>
    <x v="2"/>
    <x v="1"/>
    <s v="West-David"/>
  </r>
  <r>
    <n v="1017"/>
    <x v="54"/>
    <s v="Bob"/>
    <s v="East"/>
    <x v="988"/>
    <x v="6"/>
    <x v="2"/>
    <n v="3410.49"/>
    <n v="3481.72"/>
    <s v="New"/>
    <n v="0.24"/>
    <x v="1"/>
    <x v="1"/>
    <s v="East-Bob"/>
  </r>
  <r>
    <n v="1013"/>
    <x v="26"/>
    <s v="Charlie"/>
    <s v="East"/>
    <x v="989"/>
    <x v="25"/>
    <x v="0"/>
    <n v="1222.1500000000001"/>
    <n v="1284.3599999999999"/>
    <s v="Returning"/>
    <n v="0.03"/>
    <x v="2"/>
    <x v="1"/>
    <s v="East-Charlie"/>
  </r>
  <r>
    <n v="1084"/>
    <x v="331"/>
    <s v="David"/>
    <s v="West"/>
    <x v="990"/>
    <x v="22"/>
    <x v="1"/>
    <n v="465.61"/>
    <n v="812.91"/>
    <s v="New"/>
    <n v="0.16"/>
    <x v="1"/>
    <x v="0"/>
    <s v="West-David"/>
  </r>
  <r>
    <n v="1025"/>
    <x v="177"/>
    <s v="David"/>
    <s v="North"/>
    <x v="991"/>
    <x v="20"/>
    <x v="0"/>
    <n v="3861.61"/>
    <n v="3998.91"/>
    <s v="New"/>
    <n v="0.25"/>
    <x v="2"/>
    <x v="0"/>
    <s v="North-David"/>
  </r>
  <r>
    <n v="1068"/>
    <x v="209"/>
    <s v="Alice"/>
    <s v="South"/>
    <x v="992"/>
    <x v="17"/>
    <x v="2"/>
    <n v="3169.37"/>
    <n v="3304.15"/>
    <s v="Returning"/>
    <n v="0.25"/>
    <x v="2"/>
    <x v="1"/>
    <s v="South-Alice"/>
  </r>
  <r>
    <n v="1010"/>
    <x v="297"/>
    <s v="Charlie"/>
    <s v="North"/>
    <x v="993"/>
    <x v="41"/>
    <x v="1"/>
    <n v="4943.03"/>
    <n v="5442.15"/>
    <s v="Returning"/>
    <n v="0.28999999999999998"/>
    <x v="0"/>
    <x v="0"/>
    <s v="North-Charlie"/>
  </r>
  <r>
    <n v="1067"/>
    <x v="259"/>
    <s v="Bob"/>
    <s v="North"/>
    <x v="994"/>
    <x v="35"/>
    <x v="2"/>
    <n v="1754.32"/>
    <n v="1856.3999999999901"/>
    <s v="New"/>
    <n v="0.21"/>
    <x v="1"/>
    <x v="1"/>
    <s v="North-Bob"/>
  </r>
  <r>
    <n v="1018"/>
    <x v="167"/>
    <s v="David"/>
    <s v="South"/>
    <x v="995"/>
    <x v="1"/>
    <x v="2"/>
    <n v="355.72"/>
    <n v="438.27"/>
    <s v="Returning"/>
    <n v="0.06"/>
    <x v="1"/>
    <x v="0"/>
    <s v="South-David"/>
  </r>
  <r>
    <n v="1100"/>
    <x v="266"/>
    <s v="David"/>
    <s v="West"/>
    <x v="996"/>
    <x v="3"/>
    <x v="3"/>
    <n v="3685.03"/>
    <n v="3743.39"/>
    <s v="New"/>
    <n v="0.01"/>
    <x v="1"/>
    <x v="0"/>
    <s v="West-David"/>
  </r>
  <r>
    <n v="1086"/>
    <x v="132"/>
    <s v="Alice"/>
    <s v="East"/>
    <x v="997"/>
    <x v="10"/>
    <x v="1"/>
    <n v="2632.58"/>
    <n v="2926.68"/>
    <s v="Returning"/>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68D079-0855-457F-BCB8-A26A99C1AEFB}"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1:B4"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5">
        <item x="2"/>
        <item x="3"/>
        <item x="1"/>
        <item x="0"/>
        <item t="default"/>
      </items>
    </pivotField>
    <pivotField dataField="1" showAll="0"/>
    <pivotField showAll="0"/>
    <pivotField showAll="0"/>
    <pivotField showAll="0"/>
    <pivotField showAll="0">
      <items count="4">
        <item x="1"/>
        <item x="0"/>
        <item x="2"/>
        <item t="default"/>
      </items>
    </pivotField>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t="grand">
      <x/>
    </i>
  </rowItems>
  <colItems count="1">
    <i/>
  </colItems>
  <dataFields count="1">
    <dataField name="Sum of Unit_Cos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E25BE-3667-4D96-8CB5-F56ED13F0DFA}"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43:B44" firstHeaderRow="1" firstDataRow="1" firstDataCol="0"/>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s>
  <rowItems count="1">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6CFB0-BEB5-42B5-8665-21933BC8EB26}"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C36:D41"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Row" showAll="0">
      <items count="5">
        <item x="2"/>
        <item x="3"/>
        <item x="1"/>
        <item x="0"/>
        <item t="default"/>
      </items>
    </pivotField>
    <pivotField showAll="0"/>
    <pivotField showAll="0"/>
    <pivotField dataField="1" showAll="0"/>
    <pivotField showAll="0"/>
    <pivotField showAll="0">
      <items count="4">
        <item x="1"/>
        <item x="0"/>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s>
  <rowFields count="1">
    <field x="6"/>
  </rowFields>
  <rowItems count="5">
    <i>
      <x/>
    </i>
    <i>
      <x v="1"/>
    </i>
    <i>
      <x v="2"/>
    </i>
    <i>
      <x v="3"/>
    </i>
    <i t="grand">
      <x/>
    </i>
  </rowItems>
  <colItems count="1">
    <i/>
  </colItems>
  <dataFields count="1">
    <dataField name="Count of Customer_Type" fld="9"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05CB3-25CB-4C55-A706-7C9D79E6877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B21:C25"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5">
        <item x="2"/>
        <item x="3"/>
        <item x="1"/>
        <item x="0"/>
        <item t="default"/>
      </items>
    </pivotField>
    <pivotField dataField="1" showAll="0"/>
    <pivotField showAll="0"/>
    <pivotField showAll="0"/>
    <pivotField showAll="0"/>
    <pivotField axis="axisRow" showAll="0">
      <items count="4">
        <item x="1"/>
        <item x="0"/>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s>
  <rowFields count="1">
    <field x="11"/>
  </rowFields>
  <rowItems count="4">
    <i>
      <x/>
    </i>
    <i>
      <x v="1"/>
    </i>
    <i>
      <x v="2"/>
    </i>
    <i t="grand">
      <x/>
    </i>
  </rowItems>
  <colItems count="1">
    <i/>
  </colItems>
  <dataFields count="1">
    <dataField name="Sum of Unit_Cos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F4C748-1194-4E6D-B816-905D0FA4D68D}"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B11:C14" firstHeaderRow="1" firstDataRow="1" firstDataCol="1"/>
  <pivotFields count="17">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5">
        <item x="2"/>
        <item x="3"/>
        <item x="1"/>
        <item x="0"/>
        <item t="default"/>
      </items>
    </pivotField>
    <pivotField dataField="1" showAll="0"/>
    <pivotField showAll="0"/>
    <pivotField showAll="0"/>
    <pivotField showAll="0"/>
    <pivotField showAll="0">
      <items count="4">
        <item x="1"/>
        <item x="0"/>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Items count="1">
    <i/>
  </colItems>
  <dataFields count="1">
    <dataField name="Sum of Unit_Cost" fld="7"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1"/>
          </reference>
        </references>
      </pivotArea>
    </chartFormat>
    <chartFormat chart="2" format="6">
      <pivotArea type="data" outline="0" fieldPosition="0">
        <references count="2">
          <reference field="4294967294" count="1" selected="0">
            <x v="0"/>
          </reference>
          <reference field="16" count="1" selected="0">
            <x v="2"/>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E244906-7320-4421-9850-A231EC1D1CB6}" sourceName="Sales_Channel">
  <pivotTables>
    <pivotTable tabId="2" name="PivotTable1"/>
    <pivotTable tabId="2" name="PivotTable2"/>
    <pivotTable tabId="2" name="PivotTable3"/>
    <pivotTable tabId="2" name="PivotTable4"/>
    <pivotTable tabId="2" name="PivotTable6"/>
  </pivotTables>
  <data>
    <tabular pivotCacheId="13786341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AD4E93E8-71F6-46B1-9018-1E1F14D42300}" sourceName="Sale_Date">
  <pivotTables>
    <pivotTable tabId="2" name="PivotTable2"/>
    <pivotTable tabId="2" name="PivotTable1"/>
    <pivotTable tabId="2" name="PivotTable3"/>
    <pivotTable tabId="2" name="PivotTable4"/>
    <pivotTable tabId="2" name="PivotTable6"/>
  </pivotTables>
  <data>
    <tabular pivotCacheId="1378634199">
      <items count="340">
        <i x="58" s="1"/>
        <i x="219" s="1"/>
        <i x="285" s="1"/>
        <i x="21" s="1"/>
        <i x="99" s="1"/>
        <i x="7" s="1"/>
        <i x="212" s="1"/>
        <i x="203" s="1"/>
        <i x="231" s="1"/>
        <i x="69" s="1"/>
        <i x="142" s="1"/>
        <i x="267" s="1"/>
        <i x="73" s="1"/>
        <i x="107" s="1"/>
        <i x="120" s="1"/>
        <i x="271" s="1"/>
        <i x="172" s="1"/>
        <i x="192" s="1"/>
        <i x="191" s="1"/>
        <i x="54" s="1"/>
        <i x="327" s="1"/>
        <i x="320" s="1"/>
        <i x="112" s="1"/>
        <i x="332" s="1"/>
        <i x="170" s="1"/>
        <i x="45" s="1"/>
        <i x="243" s="1"/>
        <i x="157" s="1"/>
        <i x="31" s="1"/>
        <i x="188" s="1"/>
        <i x="323" s="1"/>
        <i x="0" s="1"/>
        <i x="86" s="1"/>
        <i x="33" s="1"/>
        <i x="299" s="1"/>
        <i x="61" s="1"/>
        <i x="118" s="1"/>
        <i x="32" s="1"/>
        <i x="241" s="1"/>
        <i x="5" s="1"/>
        <i x="268" s="1"/>
        <i x="306" s="1"/>
        <i x="248" s="1"/>
        <i x="57" s="1"/>
        <i x="180" s="1"/>
        <i x="331" s="1"/>
        <i x="156" s="1"/>
        <i x="286" s="1"/>
        <i x="225" s="1"/>
        <i x="206" s="1"/>
        <i x="164" s="1"/>
        <i x="302" s="1"/>
        <i x="269" s="1"/>
        <i x="325" s="1"/>
        <i x="229" s="1"/>
        <i x="88" s="1"/>
        <i x="263" s="1"/>
        <i x="42" s="1"/>
        <i x="113" s="1"/>
        <i x="249" s="1"/>
        <i x="284" s="1"/>
        <i x="119" s="1"/>
        <i x="295" s="1"/>
        <i x="83" s="1"/>
        <i x="19" s="1"/>
        <i x="288" s="1"/>
        <i x="260" s="1"/>
        <i x="316" s="1"/>
        <i x="37" s="1"/>
        <i x="85" s="1"/>
        <i x="313" s="1"/>
        <i x="101" s="1"/>
        <i x="324" s="1"/>
        <i x="270" s="1"/>
        <i x="228" s="1"/>
        <i x="218" s="1"/>
        <i x="4" s="1"/>
        <i x="76" s="1"/>
        <i x="215" s="1"/>
        <i x="126" s="1"/>
        <i x="202" s="1"/>
        <i x="210" s="1"/>
        <i x="103" s="1"/>
        <i x="59" s="1"/>
        <i x="154" s="1"/>
        <i x="329" s="1"/>
        <i x="41" s="1"/>
        <i x="25" s="1"/>
        <i x="209" s="1"/>
        <i x="123" s="1"/>
        <i x="238" s="1"/>
        <i x="292" s="1"/>
        <i x="6" s="1"/>
        <i x="265" s="1"/>
        <i x="274" s="1"/>
        <i x="106" s="1"/>
        <i x="297" s="1"/>
        <i x="153" s="1"/>
        <i x="289" s="1"/>
        <i x="264" s="1"/>
        <i x="237" s="1"/>
        <i x="161" s="1"/>
        <i x="1" s="1"/>
        <i x="20" s="1"/>
        <i x="55" s="1"/>
        <i x="194" s="1"/>
        <i x="137" s="1"/>
        <i x="334" s="1"/>
        <i x="167" s="1"/>
        <i x="40" s="1"/>
        <i x="223" s="1"/>
        <i x="211" s="1"/>
        <i x="247" s="1"/>
        <i x="127" s="1"/>
        <i x="298" s="1"/>
        <i x="110" s="1"/>
        <i x="152" s="1"/>
        <i x="173" s="1"/>
        <i x="261" s="1"/>
        <i x="75" s="1"/>
        <i x="198" s="1"/>
        <i x="102" s="1"/>
        <i x="48" s="1"/>
        <i x="39" s="1"/>
        <i x="135" s="1"/>
        <i x="28" s="1"/>
        <i x="71" s="1"/>
        <i x="63" s="1"/>
        <i x="56" s="1"/>
        <i x="149" s="1"/>
        <i x="60" s="1"/>
        <i x="114" s="1"/>
        <i x="190" s="1"/>
        <i x="116" s="1"/>
        <i x="239" s="1"/>
        <i x="216" s="1"/>
        <i x="141" s="1"/>
        <i x="165" s="1"/>
        <i x="16" s="1"/>
        <i x="214" s="1"/>
        <i x="26" s="1"/>
        <i x="115" s="1"/>
        <i x="168" s="1"/>
        <i x="309" s="1"/>
        <i x="179" s="1"/>
        <i x="121" s="1"/>
        <i x="189" s="1"/>
        <i x="130" s="1"/>
        <i x="294" s="1"/>
        <i x="67" s="1"/>
        <i x="201" s="1"/>
        <i x="315" s="1"/>
        <i x="254" s="1"/>
        <i x="98" s="1"/>
        <i x="196" s="1"/>
        <i x="74" s="1"/>
        <i x="305" s="1"/>
        <i x="277" s="1"/>
        <i x="151" s="1"/>
        <i x="72" s="1"/>
        <i x="46" s="1"/>
        <i x="330" s="1"/>
        <i x="193" s="1"/>
        <i x="273" s="1"/>
        <i x="177" s="1"/>
        <i x="68" s="1"/>
        <i x="109" s="1"/>
        <i x="8" s="1"/>
        <i x="253" s="1"/>
        <i x="162" s="1"/>
        <i x="276" s="1"/>
        <i x="134" s="1"/>
        <i x="281" s="1"/>
        <i x="301" s="1"/>
        <i x="255" s="1"/>
        <i x="217" s="1"/>
        <i x="183" s="1"/>
        <i x="246" s="1"/>
        <i x="308" s="1"/>
        <i x="319" s="1"/>
        <i x="251" s="1"/>
        <i x="43" s="1"/>
        <i x="222" s="1"/>
        <i x="125" s="1"/>
        <i x="220" s="1"/>
        <i x="18" s="1"/>
        <i x="272" s="1"/>
        <i x="144" s="1"/>
        <i x="233" s="1"/>
        <i x="166" s="1"/>
        <i x="44" s="1"/>
        <i x="322" s="1"/>
        <i x="333" s="1"/>
        <i x="312" s="1"/>
        <i x="339" s="1"/>
        <i x="328" s="1"/>
        <i x="230" s="1"/>
        <i x="150" s="1"/>
        <i x="187" s="1"/>
        <i x="52" s="1"/>
        <i x="97" s="1"/>
        <i x="159" s="1"/>
        <i x="186" s="1"/>
        <i x="133" s="1"/>
        <i x="262" s="1"/>
        <i x="148" s="1"/>
        <i x="244" s="1"/>
        <i x="36" s="1"/>
        <i x="338" s="1"/>
        <i x="195" s="1"/>
        <i x="34" s="1"/>
        <i x="185" s="1"/>
        <i x="53" s="1"/>
        <i x="11" s="1"/>
        <i x="257" s="1"/>
        <i x="132" s="1"/>
        <i x="14" s="1"/>
        <i x="122" s="1"/>
        <i x="256" s="1"/>
        <i x="314" s="1"/>
        <i x="221" s="1"/>
        <i x="236" s="1"/>
        <i x="3" s="1"/>
        <i x="104" s="1"/>
        <i x="337" s="1"/>
        <i x="208" s="1"/>
        <i x="290" s="1"/>
        <i x="318" s="1"/>
        <i x="30" s="1"/>
        <i x="169" s="1"/>
        <i x="280" s="1"/>
        <i x="234" s="1"/>
        <i x="29" s="1"/>
        <i x="207" s="1"/>
        <i x="259" s="1"/>
        <i x="175" s="1"/>
        <i x="124" s="1"/>
        <i x="205" s="1"/>
        <i x="224" s="1"/>
        <i x="160" s="1"/>
        <i x="311" s="1"/>
        <i x="66" s="1"/>
        <i x="287" s="1"/>
        <i x="70" s="1"/>
        <i x="291" s="1"/>
        <i x="213" s="1"/>
        <i x="2" s="1"/>
        <i x="81" s="1"/>
        <i x="199" s="1"/>
        <i x="91" s="1"/>
        <i x="245" s="1"/>
        <i x="278" s="1"/>
        <i x="93" s="1"/>
        <i x="326" s="1"/>
        <i x="282" s="1"/>
        <i x="80" s="1"/>
        <i x="279" s="1"/>
        <i x="51" s="1"/>
        <i x="17" s="1"/>
        <i x="235" s="1"/>
        <i x="227" s="1"/>
        <i x="232" s="1"/>
        <i x="9" s="1"/>
        <i x="140" s="1"/>
        <i x="300" s="1"/>
        <i x="178" s="1"/>
        <i x="95" s="1"/>
        <i x="155" s="1"/>
        <i x="108" s="1"/>
        <i x="15" s="1"/>
        <i x="96" s="1"/>
        <i x="138" s="1"/>
        <i x="62" s="1"/>
        <i x="129" s="1"/>
        <i x="105" s="1"/>
        <i x="87" s="1"/>
        <i x="158" s="1"/>
        <i x="139" s="1"/>
        <i x="47" s="1"/>
        <i x="275" s="1"/>
        <i x="146" s="1"/>
        <i x="131" s="1"/>
        <i x="304" s="1"/>
        <i x="82" s="1"/>
        <i x="321" s="1"/>
        <i x="252" s="1"/>
        <i x="117" s="1"/>
        <i x="250" s="1"/>
        <i x="27" s="1"/>
        <i x="258" s="1"/>
        <i x="163" s="1"/>
        <i x="310" s="1"/>
        <i x="12" s="1"/>
        <i x="94" s="1"/>
        <i x="335" s="1"/>
        <i x="24" s="1"/>
        <i x="78" s="1"/>
        <i x="10" s="1"/>
        <i x="77" s="1"/>
        <i x="35" s="1"/>
        <i x="204" s="1"/>
        <i x="50" s="1"/>
        <i x="49" s="1"/>
        <i x="184" s="1"/>
        <i x="90" s="1"/>
        <i x="79" s="1"/>
        <i x="128" s="1"/>
        <i x="23" s="1"/>
        <i x="136" s="1"/>
        <i x="65" s="1"/>
        <i x="84" s="1"/>
        <i x="38" s="1"/>
        <i x="303" s="1"/>
        <i x="181" s="1"/>
        <i x="293" s="1"/>
        <i x="100" s="1"/>
        <i x="283" s="1"/>
        <i x="240" s="1"/>
        <i x="182" s="1"/>
        <i x="176" s="1"/>
        <i x="307" s="1"/>
        <i x="145" s="1"/>
        <i x="171" s="1"/>
        <i x="336" s="1"/>
        <i x="89" s="1"/>
        <i x="22" s="1"/>
        <i x="317" s="1"/>
        <i x="111" s="1"/>
        <i x="266" s="1"/>
        <i x="226" s="1"/>
        <i x="64" s="1"/>
        <i x="296" s="1"/>
        <i x="197" s="1"/>
        <i x="143" s="1"/>
        <i x="92" s="1"/>
        <i x="242" s="1"/>
        <i x="147" s="1"/>
        <i x="174" s="1"/>
        <i x="13" s="1"/>
        <i x="20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79428BE-E598-4DF3-82C9-59C94F95F213}" sourceName="Payment_Method">
  <pivotTables>
    <pivotTable tabId="2" name="PivotTable3"/>
    <pivotTable tabId="2" name="PivotTable1"/>
    <pivotTable tabId="2" name="PivotTable2"/>
    <pivotTable tabId="2" name="PivotTable4"/>
    <pivotTable tabId="2" name="PivotTable6"/>
  </pivotTables>
  <data>
    <tabular pivotCacheId="137863419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FB1ACB6-06BB-49C7-886E-BFCAEFAB0155}" sourceName="Product_Category">
  <pivotTables>
    <pivotTable tabId="2" name="PivotTable4"/>
    <pivotTable tabId="2" name="PivotTable1"/>
    <pivotTable tabId="2" name="PivotTable2"/>
    <pivotTable tabId="2" name="PivotTable3"/>
    <pivotTable tabId="2" name="PivotTable6"/>
  </pivotTables>
  <data>
    <tabular pivotCacheId="1378634199">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D64B1EB-F994-4AC5-80BA-1B075BBF91CC}" cache="Slicer_Sales_Channel" caption="Sales_Channel" rowHeight="241300"/>
  <slicer name="Sale_Date" xr10:uid="{67A42DD9-2134-401A-9623-E7A408239A8D}" cache="Slicer_Sale_Date" caption="Sale_Date" rowHeight="241300"/>
  <slicer name="Payment_Method" xr10:uid="{883F846D-80A5-4D5B-AF19-5A377053AD6C}" cache="Slicer_Payment_Method" caption="Payment_Method" rowHeight="241300"/>
  <slicer name="Product_Category" xr10:uid="{3C7BE3B4-A1BE-4B57-A3B4-F1093EF449AE}" cache="Slicer_Product_Category" caption="Product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C7A85D8B-1BD8-403A-A056-501F6462FD2F}" cache="Slicer_Sales_Channel" caption="Sales_Channel" rowHeight="241300"/>
  <slicer name="Sale_Date 1" xr10:uid="{8498007B-55E8-42EF-800E-5AC39E2DB9E0}" cache="Slicer_Sale_Date" caption="Sale_Date" rowHeight="241300"/>
  <slicer name="Payment_Method 2" xr10:uid="{258DECDA-09AB-4DB1-9CCC-A4FFD0088DB0}" cache="Slicer_Payment_Method" caption="Payment_Method" rowHeight="241300"/>
  <slicer name="Product_Category 1" xr10:uid="{DC52AED7-5819-418E-AA44-7E363DB8ADF7}"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C975-6288-45FD-8393-F610E5C744B8}">
  <dimension ref="A1:N1001"/>
  <sheetViews>
    <sheetView topLeftCell="A986" workbookViewId="0"/>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1052</v>
      </c>
      <c r="B2" s="1">
        <v>44960</v>
      </c>
      <c r="C2" t="s">
        <v>14</v>
      </c>
      <c r="D2" t="s">
        <v>15</v>
      </c>
      <c r="E2">
        <v>5053.97</v>
      </c>
      <c r="F2">
        <v>18</v>
      </c>
      <c r="G2" t="s">
        <v>16</v>
      </c>
      <c r="H2">
        <v>152.75</v>
      </c>
      <c r="I2">
        <v>267.22000000000003</v>
      </c>
      <c r="J2" t="s">
        <v>17</v>
      </c>
      <c r="K2">
        <v>0.09</v>
      </c>
      <c r="L2" t="s">
        <v>18</v>
      </c>
      <c r="M2" t="s">
        <v>19</v>
      </c>
      <c r="N2" t="s">
        <v>20</v>
      </c>
    </row>
    <row r="3" spans="1:14" x14ac:dyDescent="0.3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5">
      <c r="A4">
        <v>1015</v>
      </c>
      <c r="B4" s="1">
        <v>45190</v>
      </c>
      <c r="C4" t="s">
        <v>24</v>
      </c>
      <c r="D4" t="s">
        <v>25</v>
      </c>
      <c r="E4">
        <v>4631.2299999999996</v>
      </c>
      <c r="F4">
        <v>30</v>
      </c>
      <c r="G4" t="s">
        <v>26</v>
      </c>
      <c r="H4">
        <v>261.56</v>
      </c>
      <c r="I4">
        <v>371.4</v>
      </c>
      <c r="J4" t="s">
        <v>17</v>
      </c>
      <c r="K4">
        <v>0.2</v>
      </c>
      <c r="L4" t="s">
        <v>27</v>
      </c>
      <c r="M4" t="s">
        <v>22</v>
      </c>
      <c r="N4" t="s">
        <v>28</v>
      </c>
    </row>
    <row r="5" spans="1:14" x14ac:dyDescent="0.35">
      <c r="A5">
        <v>1072</v>
      </c>
      <c r="B5" s="1">
        <v>45162</v>
      </c>
      <c r="C5" t="s">
        <v>14</v>
      </c>
      <c r="D5" t="s">
        <v>25</v>
      </c>
      <c r="E5">
        <v>2167.94</v>
      </c>
      <c r="F5">
        <v>39</v>
      </c>
      <c r="G5" t="s">
        <v>29</v>
      </c>
      <c r="H5">
        <v>4330.03</v>
      </c>
      <c r="I5">
        <v>4467.75</v>
      </c>
      <c r="J5" t="s">
        <v>30</v>
      </c>
      <c r="K5">
        <v>0.02</v>
      </c>
      <c r="L5" t="s">
        <v>31</v>
      </c>
      <c r="M5" t="s">
        <v>22</v>
      </c>
      <c r="N5" t="s">
        <v>32</v>
      </c>
    </row>
    <row r="6" spans="1:14" x14ac:dyDescent="0.35">
      <c r="A6">
        <v>1061</v>
      </c>
      <c r="B6" s="1">
        <v>45009</v>
      </c>
      <c r="C6" t="s">
        <v>33</v>
      </c>
      <c r="D6" t="s">
        <v>34</v>
      </c>
      <c r="E6">
        <v>3750.2</v>
      </c>
      <c r="F6">
        <v>13</v>
      </c>
      <c r="G6" t="s">
        <v>35</v>
      </c>
      <c r="H6">
        <v>637.37</v>
      </c>
      <c r="I6">
        <v>692.71</v>
      </c>
      <c r="J6" t="s">
        <v>30</v>
      </c>
      <c r="K6">
        <v>0.08</v>
      </c>
      <c r="L6" t="s">
        <v>31</v>
      </c>
      <c r="M6" t="s">
        <v>19</v>
      </c>
      <c r="N6" t="s">
        <v>36</v>
      </c>
    </row>
    <row r="7" spans="1:14" x14ac:dyDescent="0.35">
      <c r="A7">
        <v>1021</v>
      </c>
      <c r="B7" s="1">
        <v>44968</v>
      </c>
      <c r="C7" t="s">
        <v>33</v>
      </c>
      <c r="D7" t="s">
        <v>21</v>
      </c>
      <c r="E7">
        <v>3761.15</v>
      </c>
      <c r="F7">
        <v>32</v>
      </c>
      <c r="G7" t="s">
        <v>26</v>
      </c>
      <c r="H7">
        <v>900.79</v>
      </c>
      <c r="I7">
        <v>1106.51</v>
      </c>
      <c r="J7" t="s">
        <v>30</v>
      </c>
      <c r="K7">
        <v>0.21</v>
      </c>
      <c r="L7" t="s">
        <v>18</v>
      </c>
      <c r="M7" t="s">
        <v>19</v>
      </c>
      <c r="N7" t="s">
        <v>37</v>
      </c>
    </row>
    <row r="8" spans="1:14" x14ac:dyDescent="0.3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5">
      <c r="A9">
        <v>1087</v>
      </c>
      <c r="B9" s="1">
        <v>44932</v>
      </c>
      <c r="C9" t="s">
        <v>38</v>
      </c>
      <c r="D9" t="s">
        <v>25</v>
      </c>
      <c r="E9">
        <v>7698.92</v>
      </c>
      <c r="F9">
        <v>46</v>
      </c>
      <c r="G9" t="s">
        <v>16</v>
      </c>
      <c r="H9">
        <v>3702.51</v>
      </c>
      <c r="I9">
        <v>3964.65</v>
      </c>
      <c r="J9" t="s">
        <v>30</v>
      </c>
      <c r="K9">
        <v>0.12</v>
      </c>
      <c r="L9" t="s">
        <v>27</v>
      </c>
      <c r="M9" t="s">
        <v>19</v>
      </c>
      <c r="N9" t="s">
        <v>39</v>
      </c>
    </row>
    <row r="10" spans="1:14" x14ac:dyDescent="0.3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5">
      <c r="A11">
        <v>1075</v>
      </c>
      <c r="B11" s="1">
        <v>45208</v>
      </c>
      <c r="C11" t="s">
        <v>33</v>
      </c>
      <c r="D11" t="s">
        <v>21</v>
      </c>
      <c r="E11">
        <v>8239.58</v>
      </c>
      <c r="F11">
        <v>18</v>
      </c>
      <c r="G11" t="s">
        <v>29</v>
      </c>
      <c r="H11">
        <v>2228.35</v>
      </c>
      <c r="I11">
        <v>2682.34</v>
      </c>
      <c r="J11" t="s">
        <v>30</v>
      </c>
      <c r="K11">
        <v>0.13</v>
      </c>
      <c r="L11" t="s">
        <v>27</v>
      </c>
      <c r="M11" t="s">
        <v>19</v>
      </c>
      <c r="N11" t="s">
        <v>37</v>
      </c>
    </row>
    <row r="12" spans="1:14" x14ac:dyDescent="0.3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5">
      <c r="A14">
        <v>1024</v>
      </c>
      <c r="B14" s="1">
        <v>45241</v>
      </c>
      <c r="C14" t="s">
        <v>38</v>
      </c>
      <c r="D14" t="s">
        <v>21</v>
      </c>
      <c r="E14">
        <v>6607.8</v>
      </c>
      <c r="F14">
        <v>21</v>
      </c>
      <c r="G14" t="s">
        <v>26</v>
      </c>
      <c r="H14">
        <v>622.01</v>
      </c>
      <c r="I14">
        <v>641.09</v>
      </c>
      <c r="J14" t="s">
        <v>17</v>
      </c>
      <c r="K14">
        <v>0</v>
      </c>
      <c r="L14" t="s">
        <v>27</v>
      </c>
      <c r="M14" t="s">
        <v>22</v>
      </c>
      <c r="N14" t="s">
        <v>41</v>
      </c>
    </row>
    <row r="15" spans="1:14" x14ac:dyDescent="0.3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5">
      <c r="A17">
        <v>1053</v>
      </c>
      <c r="B17" s="1">
        <v>45215</v>
      </c>
      <c r="C17" t="s">
        <v>14</v>
      </c>
      <c r="D17" t="s">
        <v>15</v>
      </c>
      <c r="E17">
        <v>2235.83</v>
      </c>
      <c r="F17">
        <v>48</v>
      </c>
      <c r="G17" t="s">
        <v>16</v>
      </c>
      <c r="H17">
        <v>121.19</v>
      </c>
      <c r="I17">
        <v>487.65</v>
      </c>
      <c r="J17" t="s">
        <v>30</v>
      </c>
      <c r="K17">
        <v>0.18</v>
      </c>
      <c r="L17" t="s">
        <v>18</v>
      </c>
      <c r="M17" t="s">
        <v>22</v>
      </c>
      <c r="N17" t="s">
        <v>20</v>
      </c>
    </row>
    <row r="18" spans="1:14" x14ac:dyDescent="0.3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5">
      <c r="A20">
        <v>1030</v>
      </c>
      <c r="B20" s="1">
        <v>45124</v>
      </c>
      <c r="C20" t="s">
        <v>24</v>
      </c>
      <c r="D20" t="s">
        <v>21</v>
      </c>
      <c r="E20">
        <v>3023.48</v>
      </c>
      <c r="F20">
        <v>19</v>
      </c>
      <c r="G20" t="s">
        <v>29</v>
      </c>
      <c r="H20">
        <v>3049.33</v>
      </c>
      <c r="I20">
        <v>3209.22</v>
      </c>
      <c r="J20" t="s">
        <v>17</v>
      </c>
      <c r="K20">
        <v>0.26</v>
      </c>
      <c r="L20" t="s">
        <v>18</v>
      </c>
      <c r="M20" t="s">
        <v>19</v>
      </c>
      <c r="N20" t="s">
        <v>47</v>
      </c>
    </row>
    <row r="21" spans="1:14" x14ac:dyDescent="0.3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5">
      <c r="A22">
        <v>1002</v>
      </c>
      <c r="B22" s="1">
        <v>45038</v>
      </c>
      <c r="C22" t="s">
        <v>38</v>
      </c>
      <c r="D22" t="s">
        <v>15</v>
      </c>
      <c r="E22">
        <v>6551.23</v>
      </c>
      <c r="F22">
        <v>9</v>
      </c>
      <c r="G22" t="s">
        <v>35</v>
      </c>
      <c r="H22">
        <v>4398.16</v>
      </c>
      <c r="I22">
        <v>4439.12</v>
      </c>
      <c r="J22" t="s">
        <v>30</v>
      </c>
      <c r="K22">
        <v>0.18</v>
      </c>
      <c r="L22" t="s">
        <v>27</v>
      </c>
      <c r="M22" t="s">
        <v>19</v>
      </c>
      <c r="N22" t="s">
        <v>40</v>
      </c>
    </row>
    <row r="23" spans="1:14" x14ac:dyDescent="0.35">
      <c r="A23">
        <v>1064</v>
      </c>
      <c r="B23" s="1">
        <v>44930</v>
      </c>
      <c r="C23" t="s">
        <v>38</v>
      </c>
      <c r="D23" t="s">
        <v>34</v>
      </c>
      <c r="E23">
        <v>7412.11</v>
      </c>
      <c r="F23">
        <v>10</v>
      </c>
      <c r="G23" t="s">
        <v>35</v>
      </c>
      <c r="H23">
        <v>4764.96</v>
      </c>
      <c r="I23">
        <v>5074.42</v>
      </c>
      <c r="J23" t="s">
        <v>30</v>
      </c>
      <c r="K23">
        <v>0.12</v>
      </c>
      <c r="L23" t="s">
        <v>18</v>
      </c>
      <c r="M23" t="s">
        <v>19</v>
      </c>
      <c r="N23" t="s">
        <v>48</v>
      </c>
    </row>
    <row r="24" spans="1:14" x14ac:dyDescent="0.35">
      <c r="A24">
        <v>1060</v>
      </c>
      <c r="B24" s="1">
        <v>45276</v>
      </c>
      <c r="C24" t="s">
        <v>38</v>
      </c>
      <c r="D24" t="s">
        <v>34</v>
      </c>
      <c r="E24">
        <v>3224.71</v>
      </c>
      <c r="F24">
        <v>44</v>
      </c>
      <c r="G24" t="s">
        <v>29</v>
      </c>
      <c r="H24">
        <v>3784.96</v>
      </c>
      <c r="I24">
        <v>4276.99</v>
      </c>
      <c r="J24" t="s">
        <v>30</v>
      </c>
      <c r="K24">
        <v>0.06</v>
      </c>
      <c r="L24" t="s">
        <v>27</v>
      </c>
      <c r="M24" t="s">
        <v>22</v>
      </c>
      <c r="N24" t="s">
        <v>48</v>
      </c>
    </row>
    <row r="25" spans="1:14" x14ac:dyDescent="0.3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5">
      <c r="A26">
        <v>1033</v>
      </c>
      <c r="B26" s="1">
        <v>45244</v>
      </c>
      <c r="C26" t="s">
        <v>24</v>
      </c>
      <c r="D26" t="s">
        <v>25</v>
      </c>
      <c r="E26">
        <v>4011.8</v>
      </c>
      <c r="F26">
        <v>23</v>
      </c>
      <c r="G26" t="s">
        <v>16</v>
      </c>
      <c r="H26">
        <v>2981.5</v>
      </c>
      <c r="I26">
        <v>3360.4</v>
      </c>
      <c r="J26" t="s">
        <v>17</v>
      </c>
      <c r="K26">
        <v>0.22</v>
      </c>
      <c r="L26" t="s">
        <v>27</v>
      </c>
      <c r="M26" t="s">
        <v>22</v>
      </c>
      <c r="N26" t="s">
        <v>28</v>
      </c>
    </row>
    <row r="27" spans="1:14" x14ac:dyDescent="0.35">
      <c r="A27">
        <v>1076</v>
      </c>
      <c r="B27" s="1">
        <v>45276</v>
      </c>
      <c r="C27" t="s">
        <v>38</v>
      </c>
      <c r="D27" t="s">
        <v>34</v>
      </c>
      <c r="E27">
        <v>7160.75</v>
      </c>
      <c r="F27">
        <v>30</v>
      </c>
      <c r="G27" t="s">
        <v>29</v>
      </c>
      <c r="H27">
        <v>3519.63</v>
      </c>
      <c r="I27">
        <v>3774.65</v>
      </c>
      <c r="J27" t="s">
        <v>30</v>
      </c>
      <c r="K27">
        <v>0.2</v>
      </c>
      <c r="L27" t="s">
        <v>31</v>
      </c>
      <c r="M27" t="s">
        <v>22</v>
      </c>
      <c r="N27" t="s">
        <v>48</v>
      </c>
    </row>
    <row r="28" spans="1:14" x14ac:dyDescent="0.3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5">
      <c r="A31">
        <v>1049</v>
      </c>
      <c r="B31" s="1">
        <v>45063</v>
      </c>
      <c r="C31" t="s">
        <v>42</v>
      </c>
      <c r="D31" t="s">
        <v>21</v>
      </c>
      <c r="E31">
        <v>3741.08</v>
      </c>
      <c r="F31">
        <v>1</v>
      </c>
      <c r="G31" t="s">
        <v>16</v>
      </c>
      <c r="H31">
        <v>3290.89</v>
      </c>
      <c r="I31">
        <v>3317.75</v>
      </c>
      <c r="J31" t="s">
        <v>17</v>
      </c>
      <c r="K31">
        <v>0.17</v>
      </c>
      <c r="L31" t="s">
        <v>27</v>
      </c>
      <c r="M31" t="s">
        <v>19</v>
      </c>
      <c r="N31" t="s">
        <v>51</v>
      </c>
    </row>
    <row r="32" spans="1:14" x14ac:dyDescent="0.35">
      <c r="A32">
        <v>1091</v>
      </c>
      <c r="B32" s="1">
        <v>45173</v>
      </c>
      <c r="C32" t="s">
        <v>33</v>
      </c>
      <c r="D32" t="s">
        <v>25</v>
      </c>
      <c r="E32">
        <v>675.11</v>
      </c>
      <c r="F32">
        <v>44</v>
      </c>
      <c r="G32" t="s">
        <v>26</v>
      </c>
      <c r="H32">
        <v>2085.46</v>
      </c>
      <c r="I32">
        <v>2406.58</v>
      </c>
      <c r="J32" t="s">
        <v>17</v>
      </c>
      <c r="K32">
        <v>0.06</v>
      </c>
      <c r="L32" t="s">
        <v>27</v>
      </c>
      <c r="M32" t="s">
        <v>22</v>
      </c>
      <c r="N32" t="s">
        <v>44</v>
      </c>
    </row>
    <row r="33" spans="1:14" x14ac:dyDescent="0.35">
      <c r="A33">
        <v>1059</v>
      </c>
      <c r="B33" s="1">
        <v>45169</v>
      </c>
      <c r="C33" t="s">
        <v>42</v>
      </c>
      <c r="D33" t="s">
        <v>15</v>
      </c>
      <c r="E33">
        <v>1203.97</v>
      </c>
      <c r="F33">
        <v>35</v>
      </c>
      <c r="G33" t="s">
        <v>26</v>
      </c>
      <c r="H33">
        <v>3333.64</v>
      </c>
      <c r="I33">
        <v>3764.52</v>
      </c>
      <c r="J33" t="s">
        <v>17</v>
      </c>
      <c r="K33">
        <v>0.02</v>
      </c>
      <c r="L33" t="s">
        <v>31</v>
      </c>
      <c r="M33" t="s">
        <v>19</v>
      </c>
      <c r="N33" t="s">
        <v>49</v>
      </c>
    </row>
    <row r="34" spans="1:14" x14ac:dyDescent="0.3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5">
      <c r="A35">
        <v>1092</v>
      </c>
      <c r="B35" s="1">
        <v>44966</v>
      </c>
      <c r="C35" t="s">
        <v>24</v>
      </c>
      <c r="D35" t="s">
        <v>21</v>
      </c>
      <c r="E35">
        <v>2749.17</v>
      </c>
      <c r="F35">
        <v>34</v>
      </c>
      <c r="G35" t="s">
        <v>16</v>
      </c>
      <c r="H35">
        <v>2037.41</v>
      </c>
      <c r="I35">
        <v>2238.65</v>
      </c>
      <c r="J35" t="s">
        <v>30</v>
      </c>
      <c r="K35">
        <v>0.3</v>
      </c>
      <c r="L35" t="s">
        <v>31</v>
      </c>
      <c r="M35" t="s">
        <v>19</v>
      </c>
      <c r="N35" t="s">
        <v>47</v>
      </c>
    </row>
    <row r="36" spans="1:14" x14ac:dyDescent="0.35">
      <c r="A36">
        <v>1060</v>
      </c>
      <c r="B36" s="1">
        <v>45155</v>
      </c>
      <c r="C36" t="s">
        <v>14</v>
      </c>
      <c r="D36" t="s">
        <v>34</v>
      </c>
      <c r="E36">
        <v>8371.25</v>
      </c>
      <c r="F36">
        <v>16</v>
      </c>
      <c r="G36" t="s">
        <v>29</v>
      </c>
      <c r="H36">
        <v>3975.99</v>
      </c>
      <c r="I36">
        <v>4422.59</v>
      </c>
      <c r="J36" t="s">
        <v>30</v>
      </c>
      <c r="K36">
        <v>0.24</v>
      </c>
      <c r="L36" t="s">
        <v>18</v>
      </c>
      <c r="M36" t="s">
        <v>19</v>
      </c>
      <c r="N36" t="s">
        <v>46</v>
      </c>
    </row>
    <row r="37" spans="1:14" x14ac:dyDescent="0.3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5">
      <c r="A38">
        <v>1015</v>
      </c>
      <c r="B38" s="1">
        <v>45149</v>
      </c>
      <c r="C38" t="s">
        <v>38</v>
      </c>
      <c r="D38" t="s">
        <v>34</v>
      </c>
      <c r="E38">
        <v>3853.03</v>
      </c>
      <c r="F38">
        <v>32</v>
      </c>
      <c r="G38" t="s">
        <v>16</v>
      </c>
      <c r="H38">
        <v>970.51</v>
      </c>
      <c r="I38">
        <v>1330.84</v>
      </c>
      <c r="J38" t="s">
        <v>17</v>
      </c>
      <c r="K38">
        <v>0.06</v>
      </c>
      <c r="L38" t="s">
        <v>18</v>
      </c>
      <c r="M38" t="s">
        <v>22</v>
      </c>
      <c r="N38" t="s">
        <v>48</v>
      </c>
    </row>
    <row r="39" spans="1:14" x14ac:dyDescent="0.3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5">
      <c r="A41">
        <v>1047</v>
      </c>
      <c r="B41" s="1">
        <v>45146</v>
      </c>
      <c r="C41" t="s">
        <v>24</v>
      </c>
      <c r="D41" t="s">
        <v>15</v>
      </c>
      <c r="E41">
        <v>1331.25</v>
      </c>
      <c r="F41">
        <v>33</v>
      </c>
      <c r="G41" t="s">
        <v>35</v>
      </c>
      <c r="H41">
        <v>1341.55</v>
      </c>
      <c r="I41">
        <v>1427.21</v>
      </c>
      <c r="J41" t="s">
        <v>17</v>
      </c>
      <c r="K41">
        <v>0.15</v>
      </c>
      <c r="L41" t="s">
        <v>31</v>
      </c>
      <c r="M41" t="s">
        <v>19</v>
      </c>
      <c r="N41" t="s">
        <v>45</v>
      </c>
    </row>
    <row r="42" spans="1:14" x14ac:dyDescent="0.3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5">
      <c r="A44">
        <v>1055</v>
      </c>
      <c r="B44" s="1">
        <v>45261</v>
      </c>
      <c r="C44" t="s">
        <v>33</v>
      </c>
      <c r="D44" t="s">
        <v>21</v>
      </c>
      <c r="E44">
        <v>4102.47</v>
      </c>
      <c r="F44">
        <v>8</v>
      </c>
      <c r="G44" t="s">
        <v>16</v>
      </c>
      <c r="H44">
        <v>3513</v>
      </c>
      <c r="I44">
        <v>3838.42</v>
      </c>
      <c r="J44" t="s">
        <v>17</v>
      </c>
      <c r="K44">
        <v>0.13</v>
      </c>
      <c r="L44" t="s">
        <v>27</v>
      </c>
      <c r="M44" t="s">
        <v>19</v>
      </c>
      <c r="N44" t="s">
        <v>37</v>
      </c>
    </row>
    <row r="45" spans="1:14" x14ac:dyDescent="0.35">
      <c r="A45">
        <v>1064</v>
      </c>
      <c r="B45" s="1">
        <v>45060</v>
      </c>
      <c r="C45" t="s">
        <v>14</v>
      </c>
      <c r="D45" t="s">
        <v>25</v>
      </c>
      <c r="E45">
        <v>5356.28</v>
      </c>
      <c r="F45">
        <v>8</v>
      </c>
      <c r="G45" t="s">
        <v>35</v>
      </c>
      <c r="H45">
        <v>4271.99</v>
      </c>
      <c r="I45">
        <v>4417.79</v>
      </c>
      <c r="J45" t="s">
        <v>17</v>
      </c>
      <c r="K45">
        <v>0.04</v>
      </c>
      <c r="L45" t="s">
        <v>18</v>
      </c>
      <c r="M45" t="s">
        <v>19</v>
      </c>
      <c r="N45" t="s">
        <v>32</v>
      </c>
    </row>
    <row r="46" spans="1:14" x14ac:dyDescent="0.3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5">
      <c r="A47">
        <v>1051</v>
      </c>
      <c r="B47" s="1">
        <v>45020</v>
      </c>
      <c r="C47" t="s">
        <v>14</v>
      </c>
      <c r="D47" t="s">
        <v>34</v>
      </c>
      <c r="E47">
        <v>198.25</v>
      </c>
      <c r="F47">
        <v>12</v>
      </c>
      <c r="G47" t="s">
        <v>35</v>
      </c>
      <c r="H47">
        <v>3544.48</v>
      </c>
      <c r="I47">
        <v>3723.66</v>
      </c>
      <c r="J47" t="s">
        <v>17</v>
      </c>
      <c r="K47">
        <v>0.19</v>
      </c>
      <c r="L47" t="s">
        <v>18</v>
      </c>
      <c r="M47" t="s">
        <v>19</v>
      </c>
      <c r="N47" t="s">
        <v>46</v>
      </c>
    </row>
    <row r="48" spans="1:14" x14ac:dyDescent="0.3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5">
      <c r="A49">
        <v>1021</v>
      </c>
      <c r="B49" s="1">
        <v>45120</v>
      </c>
      <c r="C49" t="s">
        <v>14</v>
      </c>
      <c r="D49" t="s">
        <v>21</v>
      </c>
      <c r="E49">
        <v>9638.64</v>
      </c>
      <c r="F49">
        <v>43</v>
      </c>
      <c r="G49" t="s">
        <v>16</v>
      </c>
      <c r="H49">
        <v>4154.3</v>
      </c>
      <c r="I49">
        <v>4469.07</v>
      </c>
      <c r="J49" t="s">
        <v>17</v>
      </c>
      <c r="K49">
        <v>0.23</v>
      </c>
      <c r="L49" t="s">
        <v>18</v>
      </c>
      <c r="M49" t="s">
        <v>22</v>
      </c>
      <c r="N49" t="s">
        <v>23</v>
      </c>
    </row>
    <row r="50" spans="1:14" x14ac:dyDescent="0.3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5">
      <c r="A51">
        <v>1039</v>
      </c>
      <c r="B51" s="1">
        <v>45129</v>
      </c>
      <c r="C51" t="s">
        <v>42</v>
      </c>
      <c r="D51" t="s">
        <v>34</v>
      </c>
      <c r="E51">
        <v>6807.67</v>
      </c>
      <c r="F51">
        <v>42</v>
      </c>
      <c r="G51" t="s">
        <v>29</v>
      </c>
      <c r="H51">
        <v>3120.19</v>
      </c>
      <c r="I51">
        <v>3600.14</v>
      </c>
      <c r="J51" t="s">
        <v>17</v>
      </c>
      <c r="K51">
        <v>0.19</v>
      </c>
      <c r="L51" t="s">
        <v>31</v>
      </c>
      <c r="M51" t="s">
        <v>22</v>
      </c>
      <c r="N51" t="s">
        <v>52</v>
      </c>
    </row>
    <row r="52" spans="1:14" x14ac:dyDescent="0.3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5">
      <c r="A55">
        <v>1060</v>
      </c>
      <c r="B55" s="1">
        <v>45059</v>
      </c>
      <c r="C55" t="s">
        <v>33</v>
      </c>
      <c r="D55" t="s">
        <v>21</v>
      </c>
      <c r="E55">
        <v>5260.83</v>
      </c>
      <c r="F55">
        <v>31</v>
      </c>
      <c r="G55" t="s">
        <v>35</v>
      </c>
      <c r="H55">
        <v>3161.4</v>
      </c>
      <c r="I55">
        <v>3339.66</v>
      </c>
      <c r="J55" t="s">
        <v>17</v>
      </c>
      <c r="K55">
        <v>0.02</v>
      </c>
      <c r="L55" t="s">
        <v>27</v>
      </c>
      <c r="M55" t="s">
        <v>19</v>
      </c>
      <c r="N55" t="s">
        <v>37</v>
      </c>
    </row>
    <row r="56" spans="1:14" x14ac:dyDescent="0.3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5">
      <c r="A57">
        <v>1009</v>
      </c>
      <c r="B57" s="1">
        <v>45044</v>
      </c>
      <c r="C57" t="s">
        <v>42</v>
      </c>
      <c r="D57" t="s">
        <v>15</v>
      </c>
      <c r="E57">
        <v>1342.95</v>
      </c>
      <c r="F57">
        <v>33</v>
      </c>
      <c r="G57" t="s">
        <v>29</v>
      </c>
      <c r="H57">
        <v>2278.9</v>
      </c>
      <c r="I57">
        <v>2626.9</v>
      </c>
      <c r="J57" t="s">
        <v>30</v>
      </c>
      <c r="K57">
        <v>0.05</v>
      </c>
      <c r="L57" t="s">
        <v>31</v>
      </c>
      <c r="M57" t="s">
        <v>19</v>
      </c>
      <c r="N57" t="s">
        <v>49</v>
      </c>
    </row>
    <row r="58" spans="1:14" x14ac:dyDescent="0.3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5">
      <c r="A59">
        <v>1053</v>
      </c>
      <c r="B59" s="1">
        <v>45201</v>
      </c>
      <c r="C59" t="s">
        <v>24</v>
      </c>
      <c r="D59" t="s">
        <v>34</v>
      </c>
      <c r="E59">
        <v>7724.57</v>
      </c>
      <c r="F59">
        <v>29</v>
      </c>
      <c r="G59" t="s">
        <v>35</v>
      </c>
      <c r="H59">
        <v>3741.3</v>
      </c>
      <c r="I59">
        <v>4061.04</v>
      </c>
      <c r="J59" t="s">
        <v>17</v>
      </c>
      <c r="K59">
        <v>0.21</v>
      </c>
      <c r="L59" t="s">
        <v>31</v>
      </c>
      <c r="M59" t="s">
        <v>19</v>
      </c>
      <c r="N59" t="s">
        <v>50</v>
      </c>
    </row>
    <row r="60" spans="1:14" x14ac:dyDescent="0.3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5">
      <c r="A61">
        <v>1084</v>
      </c>
      <c r="B61" s="1">
        <v>45151</v>
      </c>
      <c r="C61" t="s">
        <v>42</v>
      </c>
      <c r="D61" t="s">
        <v>21</v>
      </c>
      <c r="E61">
        <v>1290.05</v>
      </c>
      <c r="F61">
        <v>21</v>
      </c>
      <c r="G61" t="s">
        <v>16</v>
      </c>
      <c r="H61">
        <v>3497.98</v>
      </c>
      <c r="I61">
        <v>3765.31</v>
      </c>
      <c r="J61" t="s">
        <v>30</v>
      </c>
      <c r="K61">
        <v>0.08</v>
      </c>
      <c r="L61" t="s">
        <v>18</v>
      </c>
      <c r="M61" t="s">
        <v>19</v>
      </c>
      <c r="N61" t="s">
        <v>51</v>
      </c>
    </row>
    <row r="62" spans="1:14" x14ac:dyDescent="0.3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5">
      <c r="A64">
        <v>1071</v>
      </c>
      <c r="B64" s="1">
        <v>45066</v>
      </c>
      <c r="C64" t="s">
        <v>38</v>
      </c>
      <c r="D64" t="s">
        <v>21</v>
      </c>
      <c r="E64">
        <v>3003.76</v>
      </c>
      <c r="F64">
        <v>6</v>
      </c>
      <c r="G64" t="s">
        <v>16</v>
      </c>
      <c r="H64">
        <v>2831.23</v>
      </c>
      <c r="I64">
        <v>3206.98</v>
      </c>
      <c r="J64" t="s">
        <v>17</v>
      </c>
      <c r="K64">
        <v>0.06</v>
      </c>
      <c r="L64" t="s">
        <v>27</v>
      </c>
      <c r="M64" t="s">
        <v>22</v>
      </c>
      <c r="N64" t="s">
        <v>41</v>
      </c>
    </row>
    <row r="65" spans="1:14" x14ac:dyDescent="0.35">
      <c r="A65">
        <v>1044</v>
      </c>
      <c r="B65" s="1">
        <v>44973</v>
      </c>
      <c r="C65" t="s">
        <v>24</v>
      </c>
      <c r="D65" t="s">
        <v>25</v>
      </c>
      <c r="E65">
        <v>7754.1</v>
      </c>
      <c r="F65">
        <v>22</v>
      </c>
      <c r="G65" t="s">
        <v>26</v>
      </c>
      <c r="H65">
        <v>3373.46</v>
      </c>
      <c r="I65">
        <v>3454.76</v>
      </c>
      <c r="J65" t="s">
        <v>17</v>
      </c>
      <c r="K65">
        <v>0.22</v>
      </c>
      <c r="L65" t="s">
        <v>27</v>
      </c>
      <c r="M65" t="s">
        <v>22</v>
      </c>
      <c r="N65" t="s">
        <v>28</v>
      </c>
    </row>
    <row r="66" spans="1:14" x14ac:dyDescent="0.3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5">
      <c r="A67">
        <v>1047</v>
      </c>
      <c r="B67" s="1">
        <v>45016</v>
      </c>
      <c r="C67" t="s">
        <v>42</v>
      </c>
      <c r="D67" t="s">
        <v>34</v>
      </c>
      <c r="E67">
        <v>3546.15</v>
      </c>
      <c r="F67">
        <v>37</v>
      </c>
      <c r="G67" t="s">
        <v>35</v>
      </c>
      <c r="H67">
        <v>3114.88</v>
      </c>
      <c r="I67">
        <v>3256.78</v>
      </c>
      <c r="J67" t="s">
        <v>17</v>
      </c>
      <c r="K67">
        <v>0.26</v>
      </c>
      <c r="L67" t="s">
        <v>31</v>
      </c>
      <c r="M67" t="s">
        <v>19</v>
      </c>
      <c r="N67" t="s">
        <v>52</v>
      </c>
    </row>
    <row r="68" spans="1:14" x14ac:dyDescent="0.3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5">
      <c r="A69">
        <v>1078</v>
      </c>
      <c r="B69" s="1">
        <v>45246</v>
      </c>
      <c r="C69" t="s">
        <v>24</v>
      </c>
      <c r="D69" t="s">
        <v>34</v>
      </c>
      <c r="E69">
        <v>113.4</v>
      </c>
      <c r="F69">
        <v>8</v>
      </c>
      <c r="G69" t="s">
        <v>16</v>
      </c>
      <c r="H69">
        <v>3459.61</v>
      </c>
      <c r="I69">
        <v>3657.23</v>
      </c>
      <c r="J69" t="s">
        <v>17</v>
      </c>
      <c r="K69">
        <v>0.03</v>
      </c>
      <c r="L69" t="s">
        <v>27</v>
      </c>
      <c r="M69" t="s">
        <v>19</v>
      </c>
      <c r="N69" t="s">
        <v>50</v>
      </c>
    </row>
    <row r="70" spans="1:14" x14ac:dyDescent="0.35">
      <c r="A70">
        <v>1081</v>
      </c>
      <c r="B70" s="1">
        <v>44964</v>
      </c>
      <c r="C70" t="s">
        <v>24</v>
      </c>
      <c r="D70" t="s">
        <v>34</v>
      </c>
      <c r="E70">
        <v>3068.03</v>
      </c>
      <c r="F70">
        <v>41</v>
      </c>
      <c r="G70" t="s">
        <v>16</v>
      </c>
      <c r="H70">
        <v>2782.08</v>
      </c>
      <c r="I70">
        <v>2879.24</v>
      </c>
      <c r="J70" t="s">
        <v>30</v>
      </c>
      <c r="K70">
        <v>0.21</v>
      </c>
      <c r="L70" t="s">
        <v>27</v>
      </c>
      <c r="M70" t="s">
        <v>19</v>
      </c>
      <c r="N70" t="s">
        <v>50</v>
      </c>
    </row>
    <row r="71" spans="1:14" x14ac:dyDescent="0.3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5">
      <c r="A72">
        <v>1050</v>
      </c>
      <c r="B72" s="1">
        <v>45065</v>
      </c>
      <c r="C72" t="s">
        <v>33</v>
      </c>
      <c r="D72" t="s">
        <v>34</v>
      </c>
      <c r="E72">
        <v>9744.52</v>
      </c>
      <c r="F72">
        <v>35</v>
      </c>
      <c r="G72" t="s">
        <v>29</v>
      </c>
      <c r="H72">
        <v>2158.69</v>
      </c>
      <c r="I72">
        <v>2384.38</v>
      </c>
      <c r="J72" t="s">
        <v>17</v>
      </c>
      <c r="K72">
        <v>0.09</v>
      </c>
      <c r="L72" t="s">
        <v>27</v>
      </c>
      <c r="M72" t="s">
        <v>22</v>
      </c>
      <c r="N72" t="s">
        <v>36</v>
      </c>
    </row>
    <row r="73" spans="1:14" x14ac:dyDescent="0.35">
      <c r="A73">
        <v>1004</v>
      </c>
      <c r="B73" s="1">
        <v>45282</v>
      </c>
      <c r="C73" t="s">
        <v>38</v>
      </c>
      <c r="D73" t="s">
        <v>15</v>
      </c>
      <c r="E73">
        <v>8485.9</v>
      </c>
      <c r="F73">
        <v>11</v>
      </c>
      <c r="G73" t="s">
        <v>29</v>
      </c>
      <c r="H73">
        <v>4840.33</v>
      </c>
      <c r="I73">
        <v>4884.29</v>
      </c>
      <c r="J73" t="s">
        <v>30</v>
      </c>
      <c r="K73">
        <v>0.13</v>
      </c>
      <c r="L73" t="s">
        <v>18</v>
      </c>
      <c r="M73" t="s">
        <v>19</v>
      </c>
      <c r="N73" t="s">
        <v>40</v>
      </c>
    </row>
    <row r="74" spans="1:14" x14ac:dyDescent="0.35">
      <c r="A74">
        <v>1002</v>
      </c>
      <c r="B74" s="1">
        <v>45259</v>
      </c>
      <c r="C74" t="s">
        <v>24</v>
      </c>
      <c r="D74" t="s">
        <v>15</v>
      </c>
      <c r="E74">
        <v>333.59</v>
      </c>
      <c r="F74">
        <v>24</v>
      </c>
      <c r="G74" t="s">
        <v>16</v>
      </c>
      <c r="H74">
        <v>3305.94</v>
      </c>
      <c r="I74">
        <v>3599.27</v>
      </c>
      <c r="J74" t="s">
        <v>30</v>
      </c>
      <c r="K74">
        <v>0.09</v>
      </c>
      <c r="L74" t="s">
        <v>31</v>
      </c>
      <c r="M74" t="s">
        <v>22</v>
      </c>
      <c r="N74" t="s">
        <v>45</v>
      </c>
    </row>
    <row r="75" spans="1:14" x14ac:dyDescent="0.35">
      <c r="A75">
        <v>1006</v>
      </c>
      <c r="B75" s="1">
        <v>45185</v>
      </c>
      <c r="C75" t="s">
        <v>14</v>
      </c>
      <c r="D75" t="s">
        <v>15</v>
      </c>
      <c r="E75">
        <v>8995.75</v>
      </c>
      <c r="F75">
        <v>49</v>
      </c>
      <c r="G75" t="s">
        <v>26</v>
      </c>
      <c r="H75">
        <v>2843.76</v>
      </c>
      <c r="I75">
        <v>3146.6</v>
      </c>
      <c r="J75" t="s">
        <v>30</v>
      </c>
      <c r="K75">
        <v>0.08</v>
      </c>
      <c r="L75" t="s">
        <v>18</v>
      </c>
      <c r="M75" t="s">
        <v>22</v>
      </c>
      <c r="N75" t="s">
        <v>20</v>
      </c>
    </row>
    <row r="76" spans="1:14" x14ac:dyDescent="0.3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5">
      <c r="A77">
        <v>1004</v>
      </c>
      <c r="B77" s="1">
        <v>45104</v>
      </c>
      <c r="C77" t="s">
        <v>42</v>
      </c>
      <c r="D77" t="s">
        <v>21</v>
      </c>
      <c r="E77">
        <v>7825.72</v>
      </c>
      <c r="F77">
        <v>2</v>
      </c>
      <c r="G77" t="s">
        <v>35</v>
      </c>
      <c r="H77">
        <v>2953.23</v>
      </c>
      <c r="I77">
        <v>2977.52</v>
      </c>
      <c r="J77" t="s">
        <v>17</v>
      </c>
      <c r="K77">
        <v>0.11</v>
      </c>
      <c r="L77" t="s">
        <v>31</v>
      </c>
      <c r="M77" t="s">
        <v>22</v>
      </c>
      <c r="N77" t="s">
        <v>51</v>
      </c>
    </row>
    <row r="78" spans="1:14" x14ac:dyDescent="0.35">
      <c r="A78">
        <v>1054</v>
      </c>
      <c r="B78" s="1">
        <v>44936</v>
      </c>
      <c r="C78" t="s">
        <v>38</v>
      </c>
      <c r="D78" t="s">
        <v>25</v>
      </c>
      <c r="E78">
        <v>4634.16</v>
      </c>
      <c r="F78">
        <v>40</v>
      </c>
      <c r="G78" t="s">
        <v>16</v>
      </c>
      <c r="H78">
        <v>2654.11</v>
      </c>
      <c r="I78">
        <v>2929.32</v>
      </c>
      <c r="J78" t="s">
        <v>17</v>
      </c>
      <c r="K78">
        <v>0.08</v>
      </c>
      <c r="L78" t="s">
        <v>18</v>
      </c>
      <c r="M78" t="s">
        <v>19</v>
      </c>
      <c r="N78" t="s">
        <v>39</v>
      </c>
    </row>
    <row r="79" spans="1:14" x14ac:dyDescent="0.35">
      <c r="A79">
        <v>1093</v>
      </c>
      <c r="B79" s="1">
        <v>45187</v>
      </c>
      <c r="C79" t="s">
        <v>24</v>
      </c>
      <c r="D79" t="s">
        <v>21</v>
      </c>
      <c r="E79">
        <v>4040.25</v>
      </c>
      <c r="F79">
        <v>19</v>
      </c>
      <c r="G79" t="s">
        <v>35</v>
      </c>
      <c r="H79">
        <v>3808.59</v>
      </c>
      <c r="I79">
        <v>3844.51</v>
      </c>
      <c r="J79" t="s">
        <v>30</v>
      </c>
      <c r="K79">
        <v>0.21</v>
      </c>
      <c r="L79" t="s">
        <v>31</v>
      </c>
      <c r="M79" t="s">
        <v>19</v>
      </c>
      <c r="N79" t="s">
        <v>47</v>
      </c>
    </row>
    <row r="80" spans="1:14" x14ac:dyDescent="0.35">
      <c r="A80">
        <v>1063</v>
      </c>
      <c r="B80" s="1">
        <v>45064</v>
      </c>
      <c r="C80" t="s">
        <v>14</v>
      </c>
      <c r="D80" t="s">
        <v>21</v>
      </c>
      <c r="E80">
        <v>3098.87</v>
      </c>
      <c r="F80">
        <v>39</v>
      </c>
      <c r="G80" t="s">
        <v>26</v>
      </c>
      <c r="H80">
        <v>3577.69</v>
      </c>
      <c r="I80">
        <v>3931.25</v>
      </c>
      <c r="J80" t="s">
        <v>17</v>
      </c>
      <c r="K80">
        <v>0.21</v>
      </c>
      <c r="L80" t="s">
        <v>18</v>
      </c>
      <c r="M80" t="s">
        <v>22</v>
      </c>
      <c r="N80" t="s">
        <v>23</v>
      </c>
    </row>
    <row r="81" spans="1:14" x14ac:dyDescent="0.35">
      <c r="A81">
        <v>1018</v>
      </c>
      <c r="B81" s="1">
        <v>45098</v>
      </c>
      <c r="C81" t="s">
        <v>38</v>
      </c>
      <c r="D81" t="s">
        <v>15</v>
      </c>
      <c r="E81">
        <v>750.38</v>
      </c>
      <c r="F81">
        <v>28</v>
      </c>
      <c r="G81" t="s">
        <v>29</v>
      </c>
      <c r="H81">
        <v>1006.14</v>
      </c>
      <c r="I81">
        <v>1043.45</v>
      </c>
      <c r="J81" t="s">
        <v>30</v>
      </c>
      <c r="K81">
        <v>0.15</v>
      </c>
      <c r="L81" t="s">
        <v>27</v>
      </c>
      <c r="M81" t="s">
        <v>22</v>
      </c>
      <c r="N81" t="s">
        <v>40</v>
      </c>
    </row>
    <row r="82" spans="1:14" x14ac:dyDescent="0.3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5">
      <c r="A85">
        <v>1074</v>
      </c>
      <c r="B85" s="1">
        <v>45010</v>
      </c>
      <c r="C85" t="s">
        <v>38</v>
      </c>
      <c r="D85" t="s">
        <v>21</v>
      </c>
      <c r="E85">
        <v>7499.7</v>
      </c>
      <c r="F85">
        <v>38</v>
      </c>
      <c r="G85" t="s">
        <v>26</v>
      </c>
      <c r="H85">
        <v>2610.6</v>
      </c>
      <c r="I85">
        <v>2836.94</v>
      </c>
      <c r="J85" t="s">
        <v>17</v>
      </c>
      <c r="K85">
        <v>0.19</v>
      </c>
      <c r="L85" t="s">
        <v>31</v>
      </c>
      <c r="M85" t="s">
        <v>19</v>
      </c>
      <c r="N85" t="s">
        <v>41</v>
      </c>
    </row>
    <row r="86" spans="1:14" x14ac:dyDescent="0.35">
      <c r="A86">
        <v>1062</v>
      </c>
      <c r="B86" s="1">
        <v>45247</v>
      </c>
      <c r="C86" t="s">
        <v>33</v>
      </c>
      <c r="D86" t="s">
        <v>15</v>
      </c>
      <c r="E86">
        <v>4790.72</v>
      </c>
      <c r="F86">
        <v>28</v>
      </c>
      <c r="G86" t="s">
        <v>29</v>
      </c>
      <c r="H86">
        <v>2094.88</v>
      </c>
      <c r="I86">
        <v>2168.91</v>
      </c>
      <c r="J86" t="s">
        <v>17</v>
      </c>
      <c r="K86">
        <v>0.08</v>
      </c>
      <c r="L86" t="s">
        <v>18</v>
      </c>
      <c r="M86" t="s">
        <v>22</v>
      </c>
      <c r="N86" t="s">
        <v>53</v>
      </c>
    </row>
    <row r="87" spans="1:14" x14ac:dyDescent="0.3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5">
      <c r="A91">
        <v>1015</v>
      </c>
      <c r="B91" s="1">
        <v>45191</v>
      </c>
      <c r="C91" t="s">
        <v>24</v>
      </c>
      <c r="D91" t="s">
        <v>25</v>
      </c>
      <c r="E91">
        <v>9914.15</v>
      </c>
      <c r="F91">
        <v>22</v>
      </c>
      <c r="G91" t="s">
        <v>35</v>
      </c>
      <c r="H91">
        <v>4275.59</v>
      </c>
      <c r="I91">
        <v>4576.72</v>
      </c>
      <c r="J91" t="s">
        <v>17</v>
      </c>
      <c r="K91">
        <v>0.02</v>
      </c>
      <c r="L91" t="s">
        <v>18</v>
      </c>
      <c r="M91" t="s">
        <v>22</v>
      </c>
      <c r="N91" t="s">
        <v>28</v>
      </c>
    </row>
    <row r="92" spans="1:14" x14ac:dyDescent="0.35">
      <c r="A92">
        <v>1072</v>
      </c>
      <c r="B92" s="1">
        <v>44964</v>
      </c>
      <c r="C92" t="s">
        <v>14</v>
      </c>
      <c r="D92" t="s">
        <v>34</v>
      </c>
      <c r="E92">
        <v>5490.38</v>
      </c>
      <c r="F92">
        <v>26</v>
      </c>
      <c r="G92" t="s">
        <v>26</v>
      </c>
      <c r="H92">
        <v>3640.17</v>
      </c>
      <c r="I92">
        <v>4002.63</v>
      </c>
      <c r="J92" t="s">
        <v>30</v>
      </c>
      <c r="K92">
        <v>0.05</v>
      </c>
      <c r="L92" t="s">
        <v>31</v>
      </c>
      <c r="M92" t="s">
        <v>22</v>
      </c>
      <c r="N92" t="s">
        <v>46</v>
      </c>
    </row>
    <row r="93" spans="1:14" x14ac:dyDescent="0.35">
      <c r="A93">
        <v>1078</v>
      </c>
      <c r="B93" s="1">
        <v>45020</v>
      </c>
      <c r="C93" t="s">
        <v>24</v>
      </c>
      <c r="D93" t="s">
        <v>34</v>
      </c>
      <c r="E93">
        <v>9631.41</v>
      </c>
      <c r="F93">
        <v>49</v>
      </c>
      <c r="G93" t="s">
        <v>16</v>
      </c>
      <c r="H93">
        <v>1833.95</v>
      </c>
      <c r="I93">
        <v>2147.14</v>
      </c>
      <c r="J93" t="s">
        <v>17</v>
      </c>
      <c r="K93">
        <v>0.18</v>
      </c>
      <c r="L93" t="s">
        <v>31</v>
      </c>
      <c r="M93" t="s">
        <v>22</v>
      </c>
      <c r="N93" t="s">
        <v>50</v>
      </c>
    </row>
    <row r="94" spans="1:14" x14ac:dyDescent="0.35">
      <c r="A94">
        <v>1087</v>
      </c>
      <c r="B94" s="1">
        <v>45021</v>
      </c>
      <c r="C94" t="s">
        <v>38</v>
      </c>
      <c r="D94" t="s">
        <v>34</v>
      </c>
      <c r="E94">
        <v>848.49</v>
      </c>
      <c r="F94">
        <v>43</v>
      </c>
      <c r="G94" t="s">
        <v>16</v>
      </c>
      <c r="H94">
        <v>481</v>
      </c>
      <c r="I94">
        <v>531.02</v>
      </c>
      <c r="J94" t="s">
        <v>30</v>
      </c>
      <c r="K94">
        <v>0.17</v>
      </c>
      <c r="L94" t="s">
        <v>18</v>
      </c>
      <c r="M94" t="s">
        <v>19</v>
      </c>
      <c r="N94" t="s">
        <v>48</v>
      </c>
    </row>
    <row r="95" spans="1:14" x14ac:dyDescent="0.3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5">
      <c r="A96">
        <v>1040</v>
      </c>
      <c r="B96" s="1">
        <v>44995</v>
      </c>
      <c r="C96" t="s">
        <v>33</v>
      </c>
      <c r="D96" t="s">
        <v>34</v>
      </c>
      <c r="E96">
        <v>2331.27</v>
      </c>
      <c r="F96">
        <v>13</v>
      </c>
      <c r="G96" t="s">
        <v>29</v>
      </c>
      <c r="H96">
        <v>2750.18</v>
      </c>
      <c r="I96">
        <v>2882.85</v>
      </c>
      <c r="J96" t="s">
        <v>17</v>
      </c>
      <c r="K96">
        <v>0.24</v>
      </c>
      <c r="L96" t="s">
        <v>31</v>
      </c>
      <c r="M96" t="s">
        <v>19</v>
      </c>
      <c r="N96" t="s">
        <v>36</v>
      </c>
    </row>
    <row r="97" spans="1:14" x14ac:dyDescent="0.35">
      <c r="A97">
        <v>1085</v>
      </c>
      <c r="B97" s="1">
        <v>45244</v>
      </c>
      <c r="C97" t="s">
        <v>33</v>
      </c>
      <c r="D97" t="s">
        <v>25</v>
      </c>
      <c r="E97">
        <v>2038.75</v>
      </c>
      <c r="F97">
        <v>32</v>
      </c>
      <c r="G97" t="s">
        <v>16</v>
      </c>
      <c r="H97">
        <v>1074.93</v>
      </c>
      <c r="I97">
        <v>1492.48</v>
      </c>
      <c r="J97" t="s">
        <v>17</v>
      </c>
      <c r="K97">
        <v>0.04</v>
      </c>
      <c r="L97" t="s">
        <v>31</v>
      </c>
      <c r="M97" t="s">
        <v>22</v>
      </c>
      <c r="N97" t="s">
        <v>44</v>
      </c>
    </row>
    <row r="98" spans="1:14" x14ac:dyDescent="0.35">
      <c r="A98">
        <v>1080</v>
      </c>
      <c r="B98" s="1">
        <v>45162</v>
      </c>
      <c r="C98" t="s">
        <v>14</v>
      </c>
      <c r="D98" t="s">
        <v>21</v>
      </c>
      <c r="E98">
        <v>1493.95</v>
      </c>
      <c r="F98">
        <v>17</v>
      </c>
      <c r="G98" t="s">
        <v>16</v>
      </c>
      <c r="H98">
        <v>2742.67</v>
      </c>
      <c r="I98">
        <v>2979.64</v>
      </c>
      <c r="J98" t="s">
        <v>17</v>
      </c>
      <c r="K98">
        <v>0.01</v>
      </c>
      <c r="L98" t="s">
        <v>18</v>
      </c>
      <c r="M98" t="s">
        <v>22</v>
      </c>
      <c r="N98" t="s">
        <v>23</v>
      </c>
    </row>
    <row r="99" spans="1:14" x14ac:dyDescent="0.35">
      <c r="A99">
        <v>1082</v>
      </c>
      <c r="B99" s="1">
        <v>45260</v>
      </c>
      <c r="C99" t="s">
        <v>42</v>
      </c>
      <c r="D99" t="s">
        <v>25</v>
      </c>
      <c r="E99">
        <v>6261.9</v>
      </c>
      <c r="F99">
        <v>41</v>
      </c>
      <c r="G99" t="s">
        <v>35</v>
      </c>
      <c r="H99">
        <v>1196.42</v>
      </c>
      <c r="I99">
        <v>1444.97</v>
      </c>
      <c r="J99" t="s">
        <v>17</v>
      </c>
      <c r="K99">
        <v>0.21</v>
      </c>
      <c r="L99" t="s">
        <v>27</v>
      </c>
      <c r="M99" t="s">
        <v>19</v>
      </c>
      <c r="N99" t="s">
        <v>43</v>
      </c>
    </row>
    <row r="100" spans="1:14" x14ac:dyDescent="0.3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F1F6-13BC-46E5-AD8F-20AC96A28DE4}">
  <dimension ref="A1:D46"/>
  <sheetViews>
    <sheetView topLeftCell="A6" workbookViewId="0">
      <selection activeCell="D48" sqref="D48"/>
    </sheetView>
  </sheetViews>
  <sheetFormatPr defaultRowHeight="14.5" x14ac:dyDescent="0.35"/>
  <cols>
    <col min="1" max="2" width="12.36328125" bestFit="1" customWidth="1"/>
    <col min="3" max="3" width="15.453125" bestFit="1" customWidth="1"/>
    <col min="4" max="4" width="22" bestFit="1" customWidth="1"/>
  </cols>
  <sheetData>
    <row r="1" spans="1:3" x14ac:dyDescent="0.35">
      <c r="A1" s="2" t="s">
        <v>54</v>
      </c>
      <c r="B1" t="s">
        <v>56</v>
      </c>
    </row>
    <row r="2" spans="1:3" x14ac:dyDescent="0.35">
      <c r="A2" s="3" t="s">
        <v>19</v>
      </c>
      <c r="B2" s="4">
        <v>1237238.4500000002</v>
      </c>
    </row>
    <row r="3" spans="1:3" x14ac:dyDescent="0.35">
      <c r="A3" s="3" t="s">
        <v>22</v>
      </c>
      <c r="B3" s="4">
        <v>1238066.0999999992</v>
      </c>
    </row>
    <row r="4" spans="1:3" x14ac:dyDescent="0.35">
      <c r="A4" s="3" t="s">
        <v>55</v>
      </c>
      <c r="B4" s="4">
        <v>2475304.5499999993</v>
      </c>
    </row>
    <row r="11" spans="1:3" x14ac:dyDescent="0.35">
      <c r="B11" s="2" t="s">
        <v>54</v>
      </c>
      <c r="C11" t="s">
        <v>56</v>
      </c>
    </row>
    <row r="12" spans="1:3" x14ac:dyDescent="0.35">
      <c r="B12" s="3" t="s">
        <v>57</v>
      </c>
      <c r="C12" s="4">
        <v>2473664.9499999997</v>
      </c>
    </row>
    <row r="13" spans="1:3" x14ac:dyDescent="0.35">
      <c r="B13" s="3" t="s">
        <v>58</v>
      </c>
      <c r="C13" s="4">
        <v>1639.6000000000001</v>
      </c>
    </row>
    <row r="14" spans="1:3" x14ac:dyDescent="0.35">
      <c r="B14" s="3" t="s">
        <v>55</v>
      </c>
      <c r="C14" s="4">
        <v>2475304.5499999998</v>
      </c>
    </row>
    <row r="21" spans="2:3" x14ac:dyDescent="0.35">
      <c r="B21" s="2" t="s">
        <v>54</v>
      </c>
      <c r="C21" t="s">
        <v>56</v>
      </c>
    </row>
    <row r="22" spans="2:3" x14ac:dyDescent="0.35">
      <c r="B22" s="3" t="s">
        <v>27</v>
      </c>
      <c r="C22" s="4">
        <v>865000.49999999988</v>
      </c>
    </row>
    <row r="23" spans="2:3" x14ac:dyDescent="0.35">
      <c r="B23" s="3" t="s">
        <v>18</v>
      </c>
      <c r="C23" s="4">
        <v>762277.99999999942</v>
      </c>
    </row>
    <row r="24" spans="2:3" x14ac:dyDescent="0.35">
      <c r="B24" s="3" t="s">
        <v>31</v>
      </c>
      <c r="C24" s="4">
        <v>848026.04999999923</v>
      </c>
    </row>
    <row r="25" spans="2:3" x14ac:dyDescent="0.35">
      <c r="B25" s="3" t="s">
        <v>55</v>
      </c>
      <c r="C25" s="4">
        <v>2475304.5499999984</v>
      </c>
    </row>
    <row r="36" spans="2:4" x14ac:dyDescent="0.35">
      <c r="C36" s="2" t="s">
        <v>54</v>
      </c>
      <c r="D36" t="s">
        <v>59</v>
      </c>
    </row>
    <row r="37" spans="2:4" x14ac:dyDescent="0.35">
      <c r="C37" s="3" t="s">
        <v>29</v>
      </c>
      <c r="D37" s="4">
        <v>268</v>
      </c>
    </row>
    <row r="38" spans="2:4" x14ac:dyDescent="0.35">
      <c r="C38" s="3" t="s">
        <v>35</v>
      </c>
      <c r="D38" s="4">
        <v>246</v>
      </c>
    </row>
    <row r="39" spans="2:4" x14ac:dyDescent="0.35">
      <c r="C39" s="3" t="s">
        <v>26</v>
      </c>
      <c r="D39" s="4">
        <v>226</v>
      </c>
    </row>
    <row r="40" spans="2:4" x14ac:dyDescent="0.35">
      <c r="C40" s="3" t="s">
        <v>16</v>
      </c>
      <c r="D40" s="4">
        <v>260</v>
      </c>
    </row>
    <row r="41" spans="2:4" x14ac:dyDescent="0.35">
      <c r="C41" s="3" t="s">
        <v>55</v>
      </c>
      <c r="D41" s="4">
        <v>1000</v>
      </c>
    </row>
    <row r="43" spans="2:4" x14ac:dyDescent="0.35">
      <c r="B43" t="s">
        <v>60</v>
      </c>
    </row>
    <row r="44" spans="2:4" x14ac:dyDescent="0.35">
      <c r="B44" s="4">
        <v>25355</v>
      </c>
    </row>
    <row r="46" spans="2:4" x14ac:dyDescent="0.35">
      <c r="B46">
        <f>GETPIVOTDATA("Quantity_Sold",$B$43)</f>
        <v>25355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5068-7242-4A3A-A06C-88D8881A9E20}">
  <dimension ref="A1"/>
  <sheetViews>
    <sheetView tabSelected="1" zoomScale="42" workbookViewId="0">
      <selection activeCell="R23" sqref="R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Netcom</dc:creator>
  <cp:lastModifiedBy>Netcom</cp:lastModifiedBy>
  <dcterms:created xsi:type="dcterms:W3CDTF">2025-12-30T07:16:29Z</dcterms:created>
  <dcterms:modified xsi:type="dcterms:W3CDTF">2025-12-30T08:31:14Z</dcterms:modified>
</cp:coreProperties>
</file>